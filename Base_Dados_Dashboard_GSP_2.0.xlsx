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1012135\Downloads\"/>
    </mc:Choice>
  </mc:AlternateContent>
  <xr:revisionPtr revIDLastSave="0" documentId="13_ncr:1_{CE2F84E2-26C1-445B-A37B-2EB9E9F2FB71}" xr6:coauthVersionLast="47" xr6:coauthVersionMax="47" xr10:uidLastSave="{00000000-0000-0000-0000-000000000000}"/>
  <bookViews>
    <workbookView xWindow="-110" yWindow="-110" windowWidth="19420" windowHeight="10300" activeTab="4" xr2:uid="{00000000-000D-0000-FFFF-FFFF00000000}"/>
  </bookViews>
  <sheets>
    <sheet name="LEIA-ME" sheetId="1" r:id="rId1"/>
    <sheet name="Periodos" sheetId="2" r:id="rId2"/>
    <sheet name="Visao_Geral" sheetId="3" r:id="rId3"/>
    <sheet name="Visitas" sheetId="4" r:id="rId4"/>
    <sheet name="Pesquisas" sheetId="5" r:id="rId5"/>
    <sheet name="Campanhas" sheetId="6" r:id="rId6"/>
    <sheet name="Filtros_NF" sheetId="7" r:id="rId7"/>
    <sheet name="Galeria" sheetId="8" r:id="rId8"/>
    <sheet name="Dicionario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0" i="7" l="1"/>
  <c r="H49" i="7"/>
  <c r="H48" i="7"/>
  <c r="H47" i="7"/>
  <c r="H46" i="7"/>
  <c r="H45" i="7"/>
  <c r="H44" i="7"/>
  <c r="H43" i="7"/>
  <c r="H42" i="7"/>
  <c r="H41" i="7"/>
  <c r="H40" i="7"/>
  <c r="H39" i="7"/>
  <c r="H38" i="7"/>
  <c r="H37" i="7"/>
  <c r="H36" i="7"/>
  <c r="H35" i="7"/>
  <c r="H34" i="7"/>
  <c r="H33" i="7"/>
  <c r="H32" i="7"/>
  <c r="H31" i="7"/>
  <c r="H30" i="7"/>
  <c r="H29" i="7"/>
  <c r="H28" i="7"/>
  <c r="H27" i="7"/>
  <c r="H26" i="7"/>
  <c r="H25" i="7"/>
  <c r="H24" i="7"/>
  <c r="H23" i="7"/>
  <c r="H22" i="7"/>
  <c r="H21" i="7"/>
  <c r="H20" i="7"/>
  <c r="H19" i="7"/>
  <c r="H18" i="7"/>
  <c r="H17" i="7"/>
  <c r="H16" i="7"/>
  <c r="H15" i="7"/>
  <c r="H14" i="7"/>
  <c r="H13" i="7"/>
  <c r="H12" i="7"/>
  <c r="H11" i="7"/>
  <c r="H10" i="7"/>
  <c r="H9" i="7"/>
  <c r="H8" i="7"/>
  <c r="H7" i="7"/>
  <c r="H6" i="7"/>
  <c r="H5" i="7"/>
  <c r="H4" i="7"/>
  <c r="H10" i="6"/>
  <c r="H9" i="6"/>
  <c r="H8" i="6"/>
  <c r="H7" i="6"/>
  <c r="H6" i="6"/>
  <c r="H5" i="6"/>
  <c r="H4" i="6"/>
</calcChain>
</file>

<file path=xl/sharedStrings.xml><?xml version="1.0" encoding="utf-8"?>
<sst xmlns="http://schemas.openxmlformats.org/spreadsheetml/2006/main" count="286" uniqueCount="142">
  <si>
    <t>DASHBOARD GSP 2.0 | PLANILHA-MÃE</t>
  </si>
  <si>
    <t>Objetivo</t>
  </si>
  <si>
    <t>Esta planilha será a fonte única de dados do dashboard publicado no GitHub.</t>
  </si>
  <si>
    <t>Como atualizar</t>
  </si>
  <si>
    <t>Inclua os dados do novo período nas abas correspondentes, salve o arquivo e envie a nova versão ao GitHub.</t>
  </si>
  <si>
    <t>Chave do período</t>
  </si>
  <si>
    <t>Use sempre o mesmo código de período em todas as abas, por exemplo: 2026-05-06, 2026-07, 2026-08.</t>
  </si>
  <si>
    <t>Nome exibido</t>
  </si>
  <si>
    <t>É o texto que aparecerá no seletor do dashboard, por exemplo: Maio • Junho 2026 ou Julho 2026.</t>
  </si>
  <si>
    <t>Período atual</t>
  </si>
  <si>
    <t>Maio • Junho 2026 foi pré-preenchido com os números que já definimos no projeto quando disponíveis.</t>
  </si>
  <si>
    <t>Campos em branco</t>
  </si>
  <si>
    <t>Foram deixados vazios quando o valor exato não estava confirmado na conversa; não inventamos dados.</t>
  </si>
  <si>
    <t>Galeria</t>
  </si>
  <si>
    <t>A planilha guarda o caminho relativo das fotos no repositório. As imagens continuam dentro de assets/fotos/.</t>
  </si>
  <si>
    <t>Versão futura</t>
  </si>
  <si>
    <t>A coluna Promotor já está prevista para facilitar a consolidação gerencial da versão 3.0.</t>
  </si>
  <si>
    <t>Dashboard GSP 2.0 | Base de Dados | Periodos</t>
  </si>
  <si>
    <t>periodo_id</t>
  </si>
  <si>
    <t>periodo_exibicao</t>
  </si>
  <si>
    <t>ano</t>
  </si>
  <si>
    <t>mes_ordem</t>
  </si>
  <si>
    <t>promotor</t>
  </si>
  <si>
    <t>ativo</t>
  </si>
  <si>
    <t>observacao</t>
  </si>
  <si>
    <t>2026-05-06</t>
  </si>
  <si>
    <t>Maio • Junho 2026</t>
  </si>
  <si>
    <t>Geysa</t>
  </si>
  <si>
    <t>SIM</t>
  </si>
  <si>
    <t>Período base da versão 1.0</t>
  </si>
  <si>
    <t>2026-07</t>
  </si>
  <si>
    <t>Julho 2026</t>
  </si>
  <si>
    <t>NÃO</t>
  </si>
  <si>
    <t>Preencher quando os dados de julho estiverem fechados</t>
  </si>
  <si>
    <t>2026-08</t>
  </si>
  <si>
    <t>Agosto 2026</t>
  </si>
  <si>
    <t>Linha modelo para o próximo mês</t>
  </si>
  <si>
    <t>Dashboard GSP 2.0 | Base de Dados | Visao_Geral</t>
  </si>
  <si>
    <t>visitas</t>
  </si>
  <si>
    <t>pesquisas</t>
  </si>
  <si>
    <t>campanhas</t>
  </si>
  <si>
    <t>pecas_alcancadas</t>
  </si>
  <si>
    <t>novos_clientes</t>
  </si>
  <si>
    <t>capacitacoes</t>
  </si>
  <si>
    <t>visitas_distribuidores</t>
  </si>
  <si>
    <t>visitas_varejo</t>
  </si>
  <si>
    <t>Dashboard GSP 2.0 | Base de Dados | Visitas</t>
  </si>
  <si>
    <t>total_visitas</t>
  </si>
  <si>
    <t>distribuidores</t>
  </si>
  <si>
    <t>varejo</t>
  </si>
  <si>
    <t>Preencher peças por canal conforme base definitiva do dashboard</t>
  </si>
  <si>
    <t>Dashboard GSP 2.0 | Base de Dados | Pesquisas</t>
  </si>
  <si>
    <t>total_pesquisas</t>
  </si>
  <si>
    <t>categoria</t>
  </si>
  <si>
    <t>item</t>
  </si>
  <si>
    <t>quantidade</t>
  </si>
  <si>
    <t>TOTAL</t>
  </si>
  <si>
    <t>Pesquisas realizadas</t>
  </si>
  <si>
    <t>Dashboard GSP 2.0 | Base de Dados | Campanhas</t>
  </si>
  <si>
    <t>tipo_campanha</t>
  </si>
  <si>
    <t>mes_referencia</t>
  </si>
  <si>
    <t>qtd_campanhas</t>
  </si>
  <si>
    <t>pecas_provisionadas</t>
  </si>
  <si>
    <t>percentual_atingimento</t>
  </si>
  <si>
    <t>Rodada de Prêmios</t>
  </si>
  <si>
    <t>Maio</t>
  </si>
  <si>
    <t>6 em maio; total do período = 14</t>
  </si>
  <si>
    <t>Junho</t>
  </si>
  <si>
    <t>8 em junho</t>
  </si>
  <si>
    <t>Filtros NF "apadrinhamento"</t>
  </si>
  <si>
    <t>21 em maio; total planejado do período = 30</t>
  </si>
  <si>
    <t>9 em junho</t>
  </si>
  <si>
    <t>Distribuidores</t>
  </si>
  <si>
    <t>Período</t>
  </si>
  <si>
    <t>Preencher os dados consolidados da campanha de distribuidores</t>
  </si>
  <si>
    <t>Julho</t>
  </si>
  <si>
    <t>Agosto</t>
  </si>
  <si>
    <t>Dashboard GSP 2.0 | Base de Dados | Filtros_NF</t>
  </si>
  <si>
    <t>campanha_id</t>
  </si>
  <si>
    <t>mes</t>
  </si>
  <si>
    <t>status</t>
  </si>
  <si>
    <t>atingimento</t>
  </si>
  <si>
    <t>NF-01</t>
  </si>
  <si>
    <t>Fechada</t>
  </si>
  <si>
    <t>Use uma linha por campanha NF fechada</t>
  </si>
  <si>
    <t>NF-02</t>
  </si>
  <si>
    <t>NF-03</t>
  </si>
  <si>
    <t>Dashboard GSP 2.0 | Base de Dados | Galeria</t>
  </si>
  <si>
    <t>arquivo</t>
  </si>
  <si>
    <t>caminho_relativo</t>
  </si>
  <si>
    <t>destaque</t>
  </si>
  <si>
    <t>legenda</t>
  </si>
  <si>
    <t>Destaques</t>
  </si>
  <si>
    <t>assets/fotos/destaques/</t>
  </si>
  <si>
    <t>assets/fotos/Distribuidores/</t>
  </si>
  <si>
    <t>Palestras</t>
  </si>
  <si>
    <t>assets/fotos/palestras/</t>
  </si>
  <si>
    <t>Visitas</t>
  </si>
  <si>
    <t>assets/fotos/visitas/</t>
  </si>
  <si>
    <t>assets/fotos/2026-07/</t>
  </si>
  <si>
    <t>Dashboard GSP 2.0 | Base de Dados | Dicionario</t>
  </si>
  <si>
    <t>campo</t>
  </si>
  <si>
    <t>aba</t>
  </si>
  <si>
    <t>tipo</t>
  </si>
  <si>
    <t>obrigatorio</t>
  </si>
  <si>
    <t>uso_no_dashboard</t>
  </si>
  <si>
    <t>Todas</t>
  </si>
  <si>
    <t>Texto</t>
  </si>
  <si>
    <t>Chave usada pelo seletor de período</t>
  </si>
  <si>
    <t>Periodos</t>
  </si>
  <si>
    <t>Texto mostrado ao usuário</t>
  </si>
  <si>
    <t>Prepara a base para múltiplos promotores</t>
  </si>
  <si>
    <t>Visao_Geral</t>
  </si>
  <si>
    <t>Número</t>
  </si>
  <si>
    <t>KPI de visitas</t>
  </si>
  <si>
    <t>KPI de pesquisas</t>
  </si>
  <si>
    <t>KPI de campanhas</t>
  </si>
  <si>
    <t>Visao_Geral/Campanhas/Filtros_NF</t>
  </si>
  <si>
    <t>KPI e métricas de campanha</t>
  </si>
  <si>
    <t>Campanhas/Filtros_NF</t>
  </si>
  <si>
    <t>Quando aplicável</t>
  </si>
  <si>
    <t>Base para cálculo de atingimento</t>
  </si>
  <si>
    <t>Quando houver foto</t>
  </si>
  <si>
    <t>Local da imagem dentro do repositório</t>
  </si>
  <si>
    <t>visitas_maio</t>
  </si>
  <si>
    <t>visitas_junho</t>
  </si>
  <si>
    <t>distribuidores_maio</t>
  </si>
  <si>
    <t>distribuidores_junho</t>
  </si>
  <si>
    <t>varejo_maio</t>
  </si>
  <si>
    <t>varejo_junho</t>
  </si>
  <si>
    <t>MARCA</t>
  </si>
  <si>
    <t>WEGA</t>
  </si>
  <si>
    <t>TECFIL</t>
  </si>
  <si>
    <t>VOX</t>
  </si>
  <si>
    <t>MANN</t>
  </si>
  <si>
    <t>MAHLE</t>
  </si>
  <si>
    <t>HENGST</t>
  </si>
  <si>
    <t>TIPO_ESTABELECIMENTO</t>
  </si>
  <si>
    <t>Posto de Combustível</t>
  </si>
  <si>
    <t>Centro Automotivo</t>
  </si>
  <si>
    <t>Oficina Mecânica</t>
  </si>
  <si>
    <t>Autopeças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</si>
</sst>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>
    <font>
      <sz val="11"/>
      <name val="Carlito"/>
    </font>
    <font>
      <b/>
      <sz val="16"/>
      <color rgb="FFFFFFFF"/>
      <name val="Carlito"/>
    </font>
    <font>
      <b/>
      <sz val="11"/>
      <color rgb="FF17365D"/>
      <name val="Carlito"/>
    </font>
    <font>
      <b/>
      <sz val="14"/>
      <color rgb="FFFFFFFF"/>
      <name val="Carlito"/>
    </font>
    <font>
      <b/>
      <sz val="11"/>
      <color rgb="FFFFFFFF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D4F9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3" borderId="0" xfId="0" applyFont="1" applyFill="1" applyAlignment="1">
      <alignment wrapText="1"/>
    </xf>
    <xf numFmtId="0" fontId="0" fillId="0" borderId="0" xfId="0" applyAlignment="1">
      <alignment vertical="top" wrapText="1"/>
    </xf>
    <xf numFmtId="0" fontId="4" fillId="4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left" vertical="center"/>
    </xf>
    <xf numFmtId="49" fontId="0" fillId="0" borderId="0" xfId="0" applyNumberForma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"/>
  <sheetViews>
    <sheetView workbookViewId="0">
      <selection sqref="A1:H1"/>
    </sheetView>
  </sheetViews>
  <sheetFormatPr defaultRowHeight="14"/>
  <cols>
    <col min="1" max="1" width="22" customWidth="1"/>
    <col min="2" max="2" width="75" customWidth="1"/>
  </cols>
  <sheetData>
    <row r="1" spans="1:8" ht="21.4" customHeight="1">
      <c r="A1" s="8" t="s">
        <v>0</v>
      </c>
      <c r="B1" s="8"/>
      <c r="C1" s="8"/>
      <c r="D1" s="8"/>
      <c r="E1" s="8"/>
      <c r="F1" s="8"/>
      <c r="G1" s="8"/>
      <c r="H1" s="8"/>
    </row>
    <row r="3" spans="1:8">
      <c r="A3" s="1" t="s">
        <v>1</v>
      </c>
      <c r="B3" s="2" t="s">
        <v>2</v>
      </c>
    </row>
    <row r="4" spans="1:8" ht="28">
      <c r="A4" s="1" t="s">
        <v>3</v>
      </c>
      <c r="B4" s="2" t="s">
        <v>4</v>
      </c>
    </row>
    <row r="5" spans="1:8" ht="28">
      <c r="A5" s="1" t="s">
        <v>5</v>
      </c>
      <c r="B5" s="2" t="s">
        <v>6</v>
      </c>
    </row>
    <row r="6" spans="1:8" ht="28">
      <c r="A6" s="1" t="s">
        <v>7</v>
      </c>
      <c r="B6" s="2" t="s">
        <v>8</v>
      </c>
    </row>
    <row r="7" spans="1:8" ht="28">
      <c r="A7" s="1" t="s">
        <v>9</v>
      </c>
      <c r="B7" s="2" t="s">
        <v>10</v>
      </c>
    </row>
    <row r="8" spans="1:8" ht="28">
      <c r="A8" s="1" t="s">
        <v>11</v>
      </c>
      <c r="B8" s="2" t="s">
        <v>12</v>
      </c>
    </row>
    <row r="9" spans="1:8" ht="28">
      <c r="A9" s="1" t="s">
        <v>13</v>
      </c>
      <c r="B9" s="2" t="s">
        <v>14</v>
      </c>
    </row>
    <row r="10" spans="1:8">
      <c r="A10" s="1" t="s">
        <v>15</v>
      </c>
      <c r="B10" s="2" t="s">
        <v>16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"/>
  <sheetViews>
    <sheetView workbookViewId="0">
      <selection sqref="A1:G1"/>
    </sheetView>
  </sheetViews>
  <sheetFormatPr defaultRowHeight="14"/>
  <cols>
    <col min="1" max="1" width="16" customWidth="1"/>
    <col min="2" max="2" width="24" customWidth="1"/>
    <col min="3" max="3" width="10" customWidth="1"/>
    <col min="4" max="4" width="12" customWidth="1"/>
    <col min="5" max="5" width="16" customWidth="1"/>
    <col min="6" max="6" width="10" customWidth="1"/>
    <col min="7" max="7" width="42" customWidth="1"/>
  </cols>
  <sheetData>
    <row r="1" spans="1:26" ht="18.649999999999999" customHeight="1">
      <c r="A1" s="9" t="s">
        <v>17</v>
      </c>
      <c r="B1" s="9"/>
      <c r="C1" s="9"/>
      <c r="D1" s="9"/>
      <c r="E1" s="9"/>
      <c r="F1" s="9"/>
      <c r="G1" s="9"/>
    </row>
    <row r="3" spans="1:26" ht="22.65" customHeight="1">
      <c r="A3" s="3" t="s">
        <v>18</v>
      </c>
      <c r="B3" s="3" t="s">
        <v>19</v>
      </c>
      <c r="C3" s="3" t="s">
        <v>20</v>
      </c>
      <c r="D3" s="3" t="s">
        <v>21</v>
      </c>
      <c r="E3" s="3" t="s">
        <v>22</v>
      </c>
      <c r="F3" s="3" t="s">
        <v>23</v>
      </c>
      <c r="G3" s="3" t="s">
        <v>24</v>
      </c>
    </row>
    <row r="4" spans="1:26">
      <c r="A4" s="4" t="s">
        <v>25</v>
      </c>
      <c r="B4" s="4" t="s">
        <v>26</v>
      </c>
      <c r="C4" s="4">
        <v>2026</v>
      </c>
      <c r="D4" s="4">
        <v>6</v>
      </c>
      <c r="E4" s="4" t="s">
        <v>27</v>
      </c>
      <c r="F4" s="4" t="s">
        <v>28</v>
      </c>
      <c r="G4" s="4" t="s">
        <v>29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28">
      <c r="A5" s="4" t="s">
        <v>30</v>
      </c>
      <c r="B5" s="4" t="s">
        <v>31</v>
      </c>
      <c r="C5" s="4">
        <v>2026</v>
      </c>
      <c r="D5" s="4">
        <v>7</v>
      </c>
      <c r="E5" s="4" t="s">
        <v>27</v>
      </c>
      <c r="F5" s="4" t="s">
        <v>32</v>
      </c>
      <c r="G5" s="4" t="s">
        <v>33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>
      <c r="A6" s="4" t="s">
        <v>34</v>
      </c>
      <c r="B6" s="4" t="s">
        <v>35</v>
      </c>
      <c r="C6" s="4">
        <v>2026</v>
      </c>
      <c r="D6" s="4">
        <v>8</v>
      </c>
      <c r="E6" s="4" t="s">
        <v>27</v>
      </c>
      <c r="F6" s="4" t="s">
        <v>32</v>
      </c>
      <c r="G6" s="4" t="s">
        <v>36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</sheetData>
  <mergeCells count="1">
    <mergeCell ref="A1:G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"/>
  <sheetViews>
    <sheetView workbookViewId="0">
      <selection activeCell="B14" sqref="B14"/>
    </sheetView>
  </sheetViews>
  <sheetFormatPr defaultRowHeight="14"/>
  <cols>
    <col min="1" max="2" width="16" customWidth="1"/>
    <col min="3" max="5" width="12" customWidth="1"/>
    <col min="6" max="6" width="18" customWidth="1"/>
    <col min="7" max="7" width="16" customWidth="1"/>
    <col min="8" max="8" width="14" customWidth="1"/>
    <col min="9" max="9" width="20" customWidth="1"/>
    <col min="10" max="10" width="14" customWidth="1"/>
  </cols>
  <sheetData>
    <row r="1" spans="1:26" ht="18.649999999999999" customHeight="1">
      <c r="A1" s="9" t="s">
        <v>37</v>
      </c>
      <c r="B1" s="9"/>
      <c r="C1" s="9"/>
      <c r="D1" s="9"/>
      <c r="E1" s="9"/>
      <c r="F1" s="9"/>
      <c r="G1" s="9"/>
      <c r="H1" s="9"/>
      <c r="I1" s="9"/>
      <c r="J1" s="9"/>
    </row>
    <row r="3" spans="1:26" ht="22.65" customHeight="1">
      <c r="A3" s="3" t="s">
        <v>18</v>
      </c>
      <c r="B3" s="3" t="s">
        <v>22</v>
      </c>
      <c r="C3" s="3" t="s">
        <v>38</v>
      </c>
      <c r="D3" s="3" t="s">
        <v>39</v>
      </c>
      <c r="E3" s="3" t="s">
        <v>40</v>
      </c>
      <c r="F3" s="3" t="s">
        <v>41</v>
      </c>
      <c r="G3" s="3" t="s">
        <v>42</v>
      </c>
      <c r="H3" s="3" t="s">
        <v>43</v>
      </c>
      <c r="I3" s="3" t="s">
        <v>44</v>
      </c>
      <c r="J3" s="3" t="s">
        <v>45</v>
      </c>
    </row>
    <row r="4" spans="1:26">
      <c r="A4" s="4" t="s">
        <v>25</v>
      </c>
      <c r="B4" s="4" t="s">
        <v>27</v>
      </c>
      <c r="C4" s="4">
        <v>153</v>
      </c>
      <c r="D4" s="4">
        <v>24</v>
      </c>
      <c r="E4" s="4">
        <v>51</v>
      </c>
      <c r="F4" s="4">
        <v>15631</v>
      </c>
      <c r="G4" s="4">
        <v>19</v>
      </c>
      <c r="H4" s="4">
        <v>2</v>
      </c>
      <c r="I4" s="4">
        <v>38</v>
      </c>
      <c r="J4" s="4">
        <v>114</v>
      </c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>
      <c r="A5" s="4" t="s">
        <v>30</v>
      </c>
      <c r="B5" s="4" t="s">
        <v>27</v>
      </c>
      <c r="C5" s="4"/>
      <c r="D5" s="4"/>
      <c r="E5" s="4"/>
      <c r="F5" s="4"/>
      <c r="G5" s="4"/>
      <c r="H5" s="4"/>
      <c r="I5" s="4"/>
      <c r="J5" s="4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>
      <c r="A6" s="4" t="s">
        <v>34</v>
      </c>
      <c r="B6" s="4" t="s">
        <v>27</v>
      </c>
      <c r="C6" s="4"/>
      <c r="D6" s="4"/>
      <c r="E6" s="4"/>
      <c r="F6" s="4"/>
      <c r="G6" s="4"/>
      <c r="H6" s="4"/>
      <c r="I6" s="4"/>
      <c r="J6" s="4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</sheetData>
  <mergeCells count="1">
    <mergeCell ref="A1:J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100"/>
  <sheetViews>
    <sheetView topLeftCell="E1" zoomScale="90" zoomScaleNormal="90" workbookViewId="0">
      <selection activeCell="L4" sqref="L4"/>
    </sheetView>
  </sheetViews>
  <sheetFormatPr defaultRowHeight="14"/>
  <cols>
    <col min="1" max="2" width="16" customWidth="1"/>
    <col min="3" max="3" width="14" customWidth="1"/>
    <col min="4" max="4" width="16" customWidth="1"/>
    <col min="5" max="5" width="12" customWidth="1"/>
    <col min="6" max="6" width="22" customWidth="1"/>
    <col min="7" max="11" width="16" customWidth="1"/>
    <col min="12" max="12" width="45" customWidth="1"/>
  </cols>
  <sheetData>
    <row r="1" spans="1:30" ht="18.649999999999999" customHeight="1">
      <c r="A1" s="9" t="s">
        <v>46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</row>
    <row r="3" spans="1:30" ht="22.65" customHeight="1">
      <c r="A3" s="3" t="s">
        <v>18</v>
      </c>
      <c r="B3" s="3" t="s">
        <v>22</v>
      </c>
      <c r="C3" s="3" t="s">
        <v>47</v>
      </c>
      <c r="D3" s="3" t="s">
        <v>48</v>
      </c>
      <c r="E3" s="3" t="s">
        <v>49</v>
      </c>
      <c r="F3" s="3" t="s">
        <v>124</v>
      </c>
      <c r="G3" s="3" t="s">
        <v>125</v>
      </c>
      <c r="H3" s="3" t="s">
        <v>126</v>
      </c>
      <c r="I3" s="3" t="s">
        <v>127</v>
      </c>
      <c r="J3" s="3" t="s">
        <v>128</v>
      </c>
      <c r="K3" s="3" t="s">
        <v>129</v>
      </c>
      <c r="L3" s="3" t="s">
        <v>24</v>
      </c>
    </row>
    <row r="4" spans="1:30" ht="28">
      <c r="A4" s="4" t="s">
        <v>25</v>
      </c>
      <c r="B4" s="4" t="s">
        <v>27</v>
      </c>
      <c r="C4" s="4">
        <v>152</v>
      </c>
      <c r="D4" s="4">
        <v>38</v>
      </c>
      <c r="E4" s="4">
        <v>114</v>
      </c>
      <c r="F4" s="4">
        <v>90</v>
      </c>
      <c r="G4" s="4">
        <v>63</v>
      </c>
      <c r="H4" s="4">
        <v>20</v>
      </c>
      <c r="I4" s="4">
        <v>18</v>
      </c>
      <c r="J4" s="4">
        <v>69</v>
      </c>
      <c r="K4" s="4">
        <v>45</v>
      </c>
      <c r="L4" s="4" t="s">
        <v>50</v>
      </c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</row>
    <row r="5" spans="1:30">
      <c r="A5" s="4" t="s">
        <v>30</v>
      </c>
      <c r="B5" s="4" t="s">
        <v>27</v>
      </c>
      <c r="C5" s="4"/>
      <c r="D5" s="4"/>
      <c r="E5" s="4"/>
      <c r="F5" s="4"/>
      <c r="G5" s="4"/>
      <c r="H5" s="4"/>
      <c r="I5" s="4"/>
      <c r="J5" s="4"/>
      <c r="K5" s="4"/>
      <c r="L5" s="4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</row>
    <row r="6" spans="1:30">
      <c r="A6" s="4" t="s">
        <v>34</v>
      </c>
      <c r="B6" s="4" t="s">
        <v>27</v>
      </c>
      <c r="C6" s="4"/>
      <c r="D6" s="4"/>
      <c r="E6" s="4"/>
      <c r="F6" s="4"/>
      <c r="G6" s="4"/>
      <c r="H6" s="4"/>
      <c r="I6" s="4"/>
      <c r="J6" s="4"/>
      <c r="K6" s="4"/>
      <c r="L6" s="4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</row>
    <row r="7" spans="1:30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</row>
    <row r="8" spans="1:30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</row>
    <row r="9" spans="1:30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</row>
    <row r="10" spans="1:30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</row>
    <row r="11" spans="1:30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</row>
    <row r="12" spans="1:30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</row>
    <row r="13" spans="1:30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</row>
    <row r="14" spans="1:30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</row>
    <row r="15" spans="1:30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</row>
    <row r="16" spans="1:30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</row>
    <row r="17" spans="1:30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</row>
    <row r="18" spans="1:30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</row>
    <row r="19" spans="1:30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</row>
    <row r="20" spans="1:3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</row>
    <row r="21" spans="1:30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</row>
    <row r="22" spans="1:30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</row>
    <row r="23" spans="1:30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</row>
    <row r="24" spans="1:30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</row>
    <row r="25" spans="1:30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</row>
    <row r="26" spans="1:30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</row>
    <row r="27" spans="1:30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</row>
    <row r="28" spans="1:30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</row>
    <row r="29" spans="1:30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</row>
    <row r="30" spans="1: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</row>
    <row r="31" spans="1:30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</row>
    <row r="32" spans="1:30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</row>
    <row r="33" spans="1:30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</row>
    <row r="34" spans="1:30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</row>
    <row r="35" spans="1:30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</row>
    <row r="36" spans="1:30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</row>
    <row r="37" spans="1:30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</row>
    <row r="38" spans="1:30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</row>
    <row r="39" spans="1:30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</row>
    <row r="40" spans="1:3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</row>
    <row r="41" spans="1:30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</row>
    <row r="42" spans="1:30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</row>
    <row r="43" spans="1:30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</row>
    <row r="44" spans="1:30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</row>
    <row r="45" spans="1:30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</row>
    <row r="46" spans="1:30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</row>
    <row r="47" spans="1:30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</row>
    <row r="48" spans="1:30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</row>
    <row r="49" spans="1:30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</row>
    <row r="50" spans="1:3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</row>
    <row r="51" spans="1:30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</row>
    <row r="52" spans="1:30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</row>
    <row r="53" spans="1:30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</row>
    <row r="54" spans="1:30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</row>
    <row r="55" spans="1:30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</row>
    <row r="56" spans="1:30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</row>
    <row r="57" spans="1:30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</row>
    <row r="58" spans="1:30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</row>
    <row r="59" spans="1:30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</row>
    <row r="60" spans="1:3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</row>
    <row r="61" spans="1:30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</row>
    <row r="62" spans="1:30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</row>
    <row r="63" spans="1:30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</row>
    <row r="64" spans="1:30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</row>
    <row r="65" spans="1:30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</row>
    <row r="66" spans="1:30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</row>
    <row r="67" spans="1:30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</row>
    <row r="68" spans="1:30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</row>
    <row r="69" spans="1:30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</row>
    <row r="70" spans="1:3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</row>
    <row r="71" spans="1:30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</row>
    <row r="72" spans="1:30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</row>
    <row r="73" spans="1:30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</row>
    <row r="74" spans="1:30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</row>
    <row r="75" spans="1:30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</row>
    <row r="76" spans="1:30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</row>
    <row r="77" spans="1:30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</row>
    <row r="78" spans="1:30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</row>
    <row r="79" spans="1:30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</row>
    <row r="80" spans="1:3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</row>
    <row r="81" spans="1:30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</row>
    <row r="82" spans="1:30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</row>
    <row r="83" spans="1:30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</row>
    <row r="84" spans="1:30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</row>
    <row r="85" spans="1:30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</row>
    <row r="86" spans="1:30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</row>
    <row r="87" spans="1:30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</row>
    <row r="88" spans="1:30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</row>
    <row r="89" spans="1:30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</row>
    <row r="90" spans="1:3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</row>
    <row r="91" spans="1:30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</row>
    <row r="92" spans="1:30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</row>
    <row r="93" spans="1:30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</row>
    <row r="94" spans="1:30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</row>
    <row r="95" spans="1:30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</row>
    <row r="96" spans="1:30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</row>
    <row r="97" spans="1:30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</row>
    <row r="98" spans="1:30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</row>
    <row r="99" spans="1:30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</row>
    <row r="100" spans="1:3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</row>
  </sheetData>
  <mergeCells count="1">
    <mergeCell ref="A1:L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"/>
  <sheetViews>
    <sheetView tabSelected="1" zoomScale="90" zoomScaleNormal="90" workbookViewId="0">
      <selection activeCell="A16" sqref="A16:D16"/>
    </sheetView>
  </sheetViews>
  <sheetFormatPr defaultRowHeight="14"/>
  <cols>
    <col min="1" max="3" width="16" customWidth="1"/>
    <col min="4" max="4" width="18" customWidth="1"/>
    <col min="5" max="5" width="32" customWidth="1"/>
    <col min="6" max="6" width="14" customWidth="1"/>
    <col min="7" max="7" width="40" customWidth="1"/>
  </cols>
  <sheetData>
    <row r="1" spans="1:26" ht="18.649999999999999" customHeight="1">
      <c r="A1" s="9" t="s">
        <v>51</v>
      </c>
      <c r="B1" s="9"/>
      <c r="C1" s="9"/>
      <c r="D1" s="9"/>
      <c r="E1" s="9"/>
      <c r="F1" s="9"/>
      <c r="G1" s="9"/>
    </row>
    <row r="3" spans="1:26" ht="22.65" customHeight="1">
      <c r="A3" s="3" t="s">
        <v>18</v>
      </c>
      <c r="B3" s="3" t="s">
        <v>22</v>
      </c>
      <c r="C3" s="3" t="s">
        <v>52</v>
      </c>
      <c r="D3" s="3" t="s">
        <v>53</v>
      </c>
      <c r="E3" s="3" t="s">
        <v>54</v>
      </c>
      <c r="F3" s="3" t="s">
        <v>55</v>
      </c>
      <c r="G3" s="3" t="s">
        <v>24</v>
      </c>
    </row>
    <row r="4" spans="1:26">
      <c r="A4" s="4" t="s">
        <v>25</v>
      </c>
      <c r="B4" s="4" t="s">
        <v>27</v>
      </c>
      <c r="C4" s="4">
        <v>24</v>
      </c>
      <c r="D4" s="4" t="s">
        <v>56</v>
      </c>
      <c r="E4" s="4" t="s">
        <v>57</v>
      </c>
      <c r="F4" s="4">
        <v>24</v>
      </c>
      <c r="G4" s="4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>
      <c r="A5" s="4" t="s">
        <v>30</v>
      </c>
      <c r="B5" s="4" t="s">
        <v>27</v>
      </c>
      <c r="C5" s="4"/>
      <c r="D5" s="4"/>
      <c r="E5" s="4"/>
      <c r="F5" s="4"/>
      <c r="G5" s="4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>
      <c r="A6" s="4" t="s">
        <v>34</v>
      </c>
      <c r="B6" s="4" t="s">
        <v>27</v>
      </c>
      <c r="C6" s="4"/>
      <c r="D6" s="4"/>
      <c r="E6" s="4"/>
      <c r="F6" s="4"/>
      <c r="G6" s="4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>
      <c r="A7" s="10" t="s">
        <v>25</v>
      </c>
      <c r="B7" s="6" t="s">
        <v>27</v>
      </c>
      <c r="D7" t="s">
        <v>130</v>
      </c>
      <c r="E7" s="6" t="s">
        <v>131</v>
      </c>
      <c r="F7">
        <v>43.15</v>
      </c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>
      <c r="A8" s="10" t="s">
        <v>25</v>
      </c>
      <c r="B8" s="6" t="s">
        <v>27</v>
      </c>
      <c r="C8" s="6"/>
      <c r="D8" s="6" t="s">
        <v>130</v>
      </c>
      <c r="E8" s="6" t="s">
        <v>132</v>
      </c>
      <c r="F8" s="6">
        <v>32.36</v>
      </c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>
      <c r="A9" s="10" t="s">
        <v>25</v>
      </c>
      <c r="B9" s="6" t="s">
        <v>27</v>
      </c>
      <c r="C9" s="6"/>
      <c r="D9" s="6" t="s">
        <v>130</v>
      </c>
      <c r="E9" s="6" t="s">
        <v>133</v>
      </c>
      <c r="F9" s="6">
        <v>14.52</v>
      </c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>
      <c r="A10" s="10" t="s">
        <v>25</v>
      </c>
      <c r="B10" s="6" t="s">
        <v>27</v>
      </c>
      <c r="C10" s="6"/>
      <c r="D10" s="6" t="s">
        <v>130</v>
      </c>
      <c r="E10" t="s">
        <v>134</v>
      </c>
      <c r="F10" s="6">
        <v>5.39</v>
      </c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>
      <c r="A11" s="10" t="s">
        <v>25</v>
      </c>
      <c r="B11" s="6" t="s">
        <v>27</v>
      </c>
      <c r="C11" s="6"/>
      <c r="D11" s="6" t="s">
        <v>130</v>
      </c>
      <c r="E11" s="6" t="s">
        <v>135</v>
      </c>
      <c r="F11" s="6">
        <v>3.32</v>
      </c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>
      <c r="A12" s="10" t="s">
        <v>25</v>
      </c>
      <c r="B12" s="6" t="s">
        <v>27</v>
      </c>
      <c r="C12" s="6"/>
      <c r="D12" s="6" t="s">
        <v>130</v>
      </c>
      <c r="E12" s="6" t="s">
        <v>136</v>
      </c>
      <c r="F12" s="6">
        <v>1.24</v>
      </c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>
      <c r="A13" s="10" t="s">
        <v>25</v>
      </c>
      <c r="B13" s="6" t="s">
        <v>27</v>
      </c>
      <c r="C13" s="6"/>
      <c r="D13" t="s">
        <v>137</v>
      </c>
      <c r="E13" s="6" t="s">
        <v>138</v>
      </c>
      <c r="F13" s="6">
        <v>46</v>
      </c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>
      <c r="A14" s="10" t="s">
        <v>25</v>
      </c>
      <c r="B14" s="6" t="s">
        <v>27</v>
      </c>
      <c r="C14" s="6"/>
      <c r="D14" t="s">
        <v>137</v>
      </c>
      <c r="E14" t="s">
        <v>139</v>
      </c>
      <c r="F14" s="6">
        <v>33</v>
      </c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>
      <c r="A15" s="10" t="s">
        <v>25</v>
      </c>
      <c r="B15" s="6" t="s">
        <v>27</v>
      </c>
      <c r="C15" s="6"/>
      <c r="D15" t="s">
        <v>137</v>
      </c>
      <c r="E15" t="s">
        <v>140</v>
      </c>
      <c r="F15" s="6">
        <v>13</v>
      </c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>
      <c r="A16" s="10" t="s">
        <v>25</v>
      </c>
      <c r="B16" s="6" t="s">
        <v>27</v>
      </c>
      <c r="C16" s="6"/>
      <c r="D16" t="s">
        <v>137</v>
      </c>
      <c r="E16" t="s">
        <v>141</v>
      </c>
      <c r="F16" s="6">
        <v>8</v>
      </c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</sheetData>
  <mergeCells count="1">
    <mergeCell ref="A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"/>
  <sheetViews>
    <sheetView workbookViewId="0"/>
  </sheetViews>
  <sheetFormatPr defaultRowHeight="14"/>
  <cols>
    <col min="1" max="2" width="16" customWidth="1"/>
    <col min="3" max="3" width="30" customWidth="1"/>
    <col min="4" max="4" width="18" customWidth="1"/>
    <col min="5" max="5" width="16" customWidth="1"/>
    <col min="6" max="6" width="20" customWidth="1"/>
    <col min="7" max="7" width="18" customWidth="1"/>
    <col min="8" max="8" width="20" customWidth="1"/>
    <col min="9" max="9" width="48" customWidth="1"/>
  </cols>
  <sheetData>
    <row r="1" spans="1:26" ht="18.649999999999999" customHeight="1">
      <c r="A1" s="9" t="s">
        <v>58</v>
      </c>
      <c r="B1" s="9"/>
      <c r="C1" s="9"/>
      <c r="D1" s="9"/>
      <c r="E1" s="9"/>
      <c r="F1" s="9"/>
      <c r="G1" s="9"/>
      <c r="H1" s="9"/>
      <c r="I1" s="9"/>
    </row>
    <row r="3" spans="1:26" ht="22.65" customHeight="1">
      <c r="A3" s="3" t="s">
        <v>18</v>
      </c>
      <c r="B3" s="3" t="s">
        <v>22</v>
      </c>
      <c r="C3" s="3" t="s">
        <v>59</v>
      </c>
      <c r="D3" s="3" t="s">
        <v>60</v>
      </c>
      <c r="E3" s="3" t="s">
        <v>61</v>
      </c>
      <c r="F3" s="3" t="s">
        <v>62</v>
      </c>
      <c r="G3" s="3" t="s">
        <v>41</v>
      </c>
      <c r="H3" s="3" t="s">
        <v>63</v>
      </c>
      <c r="I3" s="3" t="s">
        <v>24</v>
      </c>
    </row>
    <row r="4" spans="1:26">
      <c r="A4" s="4" t="s">
        <v>25</v>
      </c>
      <c r="B4" s="4" t="s">
        <v>27</v>
      </c>
      <c r="C4" s="4" t="s">
        <v>64</v>
      </c>
      <c r="D4" s="4" t="s">
        <v>65</v>
      </c>
      <c r="E4" s="4">
        <v>6</v>
      </c>
      <c r="F4" s="4"/>
      <c r="G4" s="4"/>
      <c r="H4" s="5" t="str">
        <f t="shared" ref="H4:H10" si="0">IF(OR(F4="",G4=""),"",G4/F4)</f>
        <v/>
      </c>
      <c r="I4" s="4" t="s">
        <v>66</v>
      </c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>
      <c r="A5" s="4" t="s">
        <v>25</v>
      </c>
      <c r="B5" s="4" t="s">
        <v>27</v>
      </c>
      <c r="C5" s="4" t="s">
        <v>64</v>
      </c>
      <c r="D5" s="4" t="s">
        <v>67</v>
      </c>
      <c r="E5" s="4">
        <v>8</v>
      </c>
      <c r="F5" s="4"/>
      <c r="G5" s="4"/>
      <c r="H5" s="5" t="str">
        <f t="shared" si="0"/>
        <v/>
      </c>
      <c r="I5" s="4" t="s">
        <v>68</v>
      </c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>
      <c r="A6" s="4" t="s">
        <v>25</v>
      </c>
      <c r="B6" s="4" t="s">
        <v>27</v>
      </c>
      <c r="C6" s="4" t="s">
        <v>69</v>
      </c>
      <c r="D6" s="4" t="s">
        <v>65</v>
      </c>
      <c r="E6" s="4">
        <v>21</v>
      </c>
      <c r="F6" s="4"/>
      <c r="G6" s="4"/>
      <c r="H6" s="5" t="str">
        <f t="shared" si="0"/>
        <v/>
      </c>
      <c r="I6" s="4" t="s">
        <v>70</v>
      </c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>
      <c r="A7" s="4" t="s">
        <v>25</v>
      </c>
      <c r="B7" s="4" t="s">
        <v>27</v>
      </c>
      <c r="C7" s="4" t="s">
        <v>69</v>
      </c>
      <c r="D7" s="4" t="s">
        <v>67</v>
      </c>
      <c r="E7" s="4">
        <v>9</v>
      </c>
      <c r="F7" s="4"/>
      <c r="G7" s="4"/>
      <c r="H7" s="5" t="str">
        <f t="shared" si="0"/>
        <v/>
      </c>
      <c r="I7" s="4" t="s">
        <v>71</v>
      </c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28">
      <c r="A8" s="4" t="s">
        <v>25</v>
      </c>
      <c r="B8" s="4" t="s">
        <v>27</v>
      </c>
      <c r="C8" s="4" t="s">
        <v>72</v>
      </c>
      <c r="D8" s="4" t="s">
        <v>73</v>
      </c>
      <c r="E8" s="4"/>
      <c r="F8" s="4"/>
      <c r="G8" s="4"/>
      <c r="H8" s="5" t="str">
        <f t="shared" si="0"/>
        <v/>
      </c>
      <c r="I8" s="4" t="s">
        <v>74</v>
      </c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>
      <c r="A9" s="4" t="s">
        <v>30</v>
      </c>
      <c r="B9" s="4" t="s">
        <v>27</v>
      </c>
      <c r="C9" s="4"/>
      <c r="D9" s="4" t="s">
        <v>75</v>
      </c>
      <c r="E9" s="4"/>
      <c r="F9" s="4"/>
      <c r="G9" s="4"/>
      <c r="H9" s="5" t="str">
        <f t="shared" si="0"/>
        <v/>
      </c>
      <c r="I9" s="4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>
      <c r="A10" s="4" t="s">
        <v>34</v>
      </c>
      <c r="B10" s="4" t="s">
        <v>27</v>
      </c>
      <c r="C10" s="4"/>
      <c r="D10" s="4" t="s">
        <v>76</v>
      </c>
      <c r="E10" s="4"/>
      <c r="F10" s="4"/>
      <c r="G10" s="4"/>
      <c r="H10" s="5" t="str">
        <f t="shared" si="0"/>
        <v/>
      </c>
      <c r="I10" s="4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</sheetData>
  <mergeCells count="1">
    <mergeCell ref="A1:I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"/>
  <sheetViews>
    <sheetView workbookViewId="0"/>
  </sheetViews>
  <sheetFormatPr defaultRowHeight="14"/>
  <cols>
    <col min="1" max="2" width="16" customWidth="1"/>
    <col min="3" max="3" width="14" customWidth="1"/>
    <col min="4" max="4" width="12" customWidth="1"/>
    <col min="5" max="5" width="14" customWidth="1"/>
    <col min="6" max="6" width="20" customWidth="1"/>
    <col min="7" max="7" width="18" customWidth="1"/>
    <col min="8" max="8" width="14" customWidth="1"/>
    <col min="9" max="9" width="45" customWidth="1"/>
  </cols>
  <sheetData>
    <row r="1" spans="1:26" ht="18.649999999999999" customHeight="1">
      <c r="A1" s="9" t="s">
        <v>77</v>
      </c>
      <c r="B1" s="9"/>
      <c r="C1" s="9"/>
      <c r="D1" s="9"/>
      <c r="E1" s="9"/>
      <c r="F1" s="9"/>
      <c r="G1" s="9"/>
      <c r="H1" s="9"/>
      <c r="I1" s="9"/>
    </row>
    <row r="3" spans="1:26" ht="22.65" customHeight="1">
      <c r="A3" s="3" t="s">
        <v>18</v>
      </c>
      <c r="B3" s="3" t="s">
        <v>22</v>
      </c>
      <c r="C3" s="3" t="s">
        <v>78</v>
      </c>
      <c r="D3" s="3" t="s">
        <v>79</v>
      </c>
      <c r="E3" s="3" t="s">
        <v>80</v>
      </c>
      <c r="F3" s="3" t="s">
        <v>62</v>
      </c>
      <c r="G3" s="3" t="s">
        <v>41</v>
      </c>
      <c r="H3" s="3" t="s">
        <v>81</v>
      </c>
      <c r="I3" s="3" t="s">
        <v>24</v>
      </c>
    </row>
    <row r="4" spans="1:26">
      <c r="A4" s="4" t="s">
        <v>25</v>
      </c>
      <c r="B4" s="4" t="s">
        <v>27</v>
      </c>
      <c r="C4" s="4" t="s">
        <v>82</v>
      </c>
      <c r="D4" s="4" t="s">
        <v>65</v>
      </c>
      <c r="E4" s="4" t="s">
        <v>83</v>
      </c>
      <c r="F4" s="4"/>
      <c r="G4" s="4"/>
      <c r="H4" s="5" t="str">
        <f t="shared" ref="H4:H50" si="0">IF(OR(F4="",G4=""),"",G4/F4)</f>
        <v/>
      </c>
      <c r="I4" s="4" t="s">
        <v>84</v>
      </c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>
      <c r="A5" s="4" t="s">
        <v>25</v>
      </c>
      <c r="B5" s="4" t="s">
        <v>27</v>
      </c>
      <c r="C5" s="4" t="s">
        <v>85</v>
      </c>
      <c r="D5" s="4" t="s">
        <v>65</v>
      </c>
      <c r="E5" s="4" t="s">
        <v>83</v>
      </c>
      <c r="F5" s="4"/>
      <c r="G5" s="4"/>
      <c r="H5" s="5" t="str">
        <f t="shared" si="0"/>
        <v/>
      </c>
      <c r="I5" s="4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>
      <c r="A6" s="4" t="s">
        <v>25</v>
      </c>
      <c r="B6" s="4" t="s">
        <v>27</v>
      </c>
      <c r="C6" s="4" t="s">
        <v>86</v>
      </c>
      <c r="D6" s="4" t="s">
        <v>65</v>
      </c>
      <c r="E6" s="4" t="s">
        <v>83</v>
      </c>
      <c r="F6" s="4"/>
      <c r="G6" s="4"/>
      <c r="H6" s="5" t="str">
        <f t="shared" si="0"/>
        <v/>
      </c>
      <c r="I6" s="4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>
      <c r="A7" s="4" t="s">
        <v>30</v>
      </c>
      <c r="B7" s="4" t="s">
        <v>27</v>
      </c>
      <c r="C7" s="4" t="s">
        <v>82</v>
      </c>
      <c r="D7" s="4" t="s">
        <v>75</v>
      </c>
      <c r="E7" s="4"/>
      <c r="F7" s="4"/>
      <c r="G7" s="4"/>
      <c r="H7" s="5" t="str">
        <f t="shared" si="0"/>
        <v/>
      </c>
      <c r="I7" s="4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>
      <c r="A8" s="6"/>
      <c r="B8" s="6"/>
      <c r="C8" s="6"/>
      <c r="D8" s="6"/>
      <c r="E8" s="6"/>
      <c r="F8" s="6"/>
      <c r="G8" s="6"/>
      <c r="H8" s="7" t="str">
        <f t="shared" si="0"/>
        <v/>
      </c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>
      <c r="A9" s="6"/>
      <c r="B9" s="6"/>
      <c r="C9" s="6"/>
      <c r="D9" s="6"/>
      <c r="E9" s="6"/>
      <c r="F9" s="6"/>
      <c r="G9" s="6"/>
      <c r="H9" s="7" t="str">
        <f t="shared" si="0"/>
        <v/>
      </c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>
      <c r="A10" s="6"/>
      <c r="B10" s="6"/>
      <c r="C10" s="6"/>
      <c r="D10" s="6"/>
      <c r="E10" s="6"/>
      <c r="F10" s="6"/>
      <c r="G10" s="6"/>
      <c r="H10" s="7" t="str">
        <f t="shared" si="0"/>
        <v/>
      </c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>
      <c r="A11" s="6"/>
      <c r="B11" s="6"/>
      <c r="C11" s="6"/>
      <c r="D11" s="6"/>
      <c r="E11" s="6"/>
      <c r="F11" s="6"/>
      <c r="G11" s="6"/>
      <c r="H11" s="7" t="str">
        <f t="shared" si="0"/>
        <v/>
      </c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>
      <c r="A12" s="6"/>
      <c r="B12" s="6"/>
      <c r="C12" s="6"/>
      <c r="D12" s="6"/>
      <c r="E12" s="6"/>
      <c r="F12" s="6"/>
      <c r="G12" s="6"/>
      <c r="H12" s="7" t="str">
        <f t="shared" si="0"/>
        <v/>
      </c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>
      <c r="A13" s="6"/>
      <c r="B13" s="6"/>
      <c r="C13" s="6"/>
      <c r="D13" s="6"/>
      <c r="E13" s="6"/>
      <c r="F13" s="6"/>
      <c r="G13" s="6"/>
      <c r="H13" s="7" t="str">
        <f t="shared" si="0"/>
        <v/>
      </c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>
      <c r="A14" s="6"/>
      <c r="B14" s="6"/>
      <c r="C14" s="6"/>
      <c r="D14" s="6"/>
      <c r="E14" s="6"/>
      <c r="F14" s="6"/>
      <c r="G14" s="6"/>
      <c r="H14" s="7" t="str">
        <f t="shared" si="0"/>
        <v/>
      </c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>
      <c r="A15" s="6"/>
      <c r="B15" s="6"/>
      <c r="C15" s="6"/>
      <c r="D15" s="6"/>
      <c r="E15" s="6"/>
      <c r="F15" s="6"/>
      <c r="G15" s="6"/>
      <c r="H15" s="7" t="str">
        <f t="shared" si="0"/>
        <v/>
      </c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>
      <c r="A16" s="6"/>
      <c r="B16" s="6"/>
      <c r="C16" s="6"/>
      <c r="D16" s="6"/>
      <c r="E16" s="6"/>
      <c r="F16" s="6"/>
      <c r="G16" s="6"/>
      <c r="H16" s="7" t="str">
        <f t="shared" si="0"/>
        <v/>
      </c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>
      <c r="A17" s="6"/>
      <c r="B17" s="6"/>
      <c r="C17" s="6"/>
      <c r="D17" s="6"/>
      <c r="E17" s="6"/>
      <c r="F17" s="6"/>
      <c r="G17" s="6"/>
      <c r="H17" s="7" t="str">
        <f t="shared" si="0"/>
        <v/>
      </c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>
      <c r="A18" s="6"/>
      <c r="B18" s="6"/>
      <c r="C18" s="6"/>
      <c r="D18" s="6"/>
      <c r="E18" s="6"/>
      <c r="F18" s="6"/>
      <c r="G18" s="6"/>
      <c r="H18" s="7" t="str">
        <f t="shared" si="0"/>
        <v/>
      </c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>
      <c r="A19" s="6"/>
      <c r="B19" s="6"/>
      <c r="C19" s="6"/>
      <c r="D19" s="6"/>
      <c r="E19" s="6"/>
      <c r="F19" s="6"/>
      <c r="G19" s="6"/>
      <c r="H19" s="7" t="str">
        <f t="shared" si="0"/>
        <v/>
      </c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>
      <c r="A20" s="6"/>
      <c r="B20" s="6"/>
      <c r="C20" s="6"/>
      <c r="D20" s="6"/>
      <c r="E20" s="6"/>
      <c r="F20" s="6"/>
      <c r="G20" s="6"/>
      <c r="H20" s="7" t="str">
        <f t="shared" si="0"/>
        <v/>
      </c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>
      <c r="A21" s="6"/>
      <c r="B21" s="6"/>
      <c r="C21" s="6"/>
      <c r="D21" s="6"/>
      <c r="E21" s="6"/>
      <c r="F21" s="6"/>
      <c r="G21" s="6"/>
      <c r="H21" s="7" t="str">
        <f t="shared" si="0"/>
        <v/>
      </c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>
      <c r="A22" s="6"/>
      <c r="B22" s="6"/>
      <c r="C22" s="6"/>
      <c r="D22" s="6"/>
      <c r="E22" s="6"/>
      <c r="F22" s="6"/>
      <c r="G22" s="6"/>
      <c r="H22" s="7" t="str">
        <f t="shared" si="0"/>
        <v/>
      </c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>
      <c r="A23" s="6"/>
      <c r="B23" s="6"/>
      <c r="C23" s="6"/>
      <c r="D23" s="6"/>
      <c r="E23" s="6"/>
      <c r="F23" s="6"/>
      <c r="G23" s="6"/>
      <c r="H23" s="7" t="str">
        <f t="shared" si="0"/>
        <v/>
      </c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>
      <c r="A24" s="6"/>
      <c r="B24" s="6"/>
      <c r="C24" s="6"/>
      <c r="D24" s="6"/>
      <c r="E24" s="6"/>
      <c r="F24" s="6"/>
      <c r="G24" s="6"/>
      <c r="H24" s="7" t="str">
        <f t="shared" si="0"/>
        <v/>
      </c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>
      <c r="A25" s="6"/>
      <c r="B25" s="6"/>
      <c r="C25" s="6"/>
      <c r="D25" s="6"/>
      <c r="E25" s="6"/>
      <c r="F25" s="6"/>
      <c r="G25" s="6"/>
      <c r="H25" s="7" t="str">
        <f t="shared" si="0"/>
        <v/>
      </c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>
      <c r="A26" s="6"/>
      <c r="B26" s="6"/>
      <c r="C26" s="6"/>
      <c r="D26" s="6"/>
      <c r="E26" s="6"/>
      <c r="F26" s="6"/>
      <c r="G26" s="6"/>
      <c r="H26" s="7" t="str">
        <f t="shared" si="0"/>
        <v/>
      </c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>
      <c r="A27" s="6"/>
      <c r="B27" s="6"/>
      <c r="C27" s="6"/>
      <c r="D27" s="6"/>
      <c r="E27" s="6"/>
      <c r="F27" s="6"/>
      <c r="G27" s="6"/>
      <c r="H27" s="7" t="str">
        <f t="shared" si="0"/>
        <v/>
      </c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>
      <c r="A28" s="6"/>
      <c r="B28" s="6"/>
      <c r="C28" s="6"/>
      <c r="D28" s="6"/>
      <c r="E28" s="6"/>
      <c r="F28" s="6"/>
      <c r="G28" s="6"/>
      <c r="H28" s="7" t="str">
        <f t="shared" si="0"/>
        <v/>
      </c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>
      <c r="A29" s="6"/>
      <c r="B29" s="6"/>
      <c r="C29" s="6"/>
      <c r="D29" s="6"/>
      <c r="E29" s="6"/>
      <c r="F29" s="6"/>
      <c r="G29" s="6"/>
      <c r="H29" s="7" t="str">
        <f t="shared" si="0"/>
        <v/>
      </c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>
      <c r="A30" s="6"/>
      <c r="B30" s="6"/>
      <c r="C30" s="6"/>
      <c r="D30" s="6"/>
      <c r="E30" s="6"/>
      <c r="F30" s="6"/>
      <c r="G30" s="6"/>
      <c r="H30" s="7" t="str">
        <f t="shared" si="0"/>
        <v/>
      </c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>
      <c r="A31" s="6"/>
      <c r="B31" s="6"/>
      <c r="C31" s="6"/>
      <c r="D31" s="6"/>
      <c r="E31" s="6"/>
      <c r="F31" s="6"/>
      <c r="G31" s="6"/>
      <c r="H31" s="7" t="str">
        <f t="shared" si="0"/>
        <v/>
      </c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>
      <c r="A32" s="6"/>
      <c r="B32" s="6"/>
      <c r="C32" s="6"/>
      <c r="D32" s="6"/>
      <c r="E32" s="6"/>
      <c r="F32" s="6"/>
      <c r="G32" s="6"/>
      <c r="H32" s="7" t="str">
        <f t="shared" si="0"/>
        <v/>
      </c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>
      <c r="A33" s="6"/>
      <c r="B33" s="6"/>
      <c r="C33" s="6"/>
      <c r="D33" s="6"/>
      <c r="E33" s="6"/>
      <c r="F33" s="6"/>
      <c r="G33" s="6"/>
      <c r="H33" s="7" t="str">
        <f t="shared" si="0"/>
        <v/>
      </c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>
      <c r="A34" s="6"/>
      <c r="B34" s="6"/>
      <c r="C34" s="6"/>
      <c r="D34" s="6"/>
      <c r="E34" s="6"/>
      <c r="F34" s="6"/>
      <c r="G34" s="6"/>
      <c r="H34" s="7" t="str">
        <f t="shared" si="0"/>
        <v/>
      </c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>
      <c r="A35" s="6"/>
      <c r="B35" s="6"/>
      <c r="C35" s="6"/>
      <c r="D35" s="6"/>
      <c r="E35" s="6"/>
      <c r="F35" s="6"/>
      <c r="G35" s="6"/>
      <c r="H35" s="7" t="str">
        <f t="shared" si="0"/>
        <v/>
      </c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>
      <c r="A36" s="6"/>
      <c r="B36" s="6"/>
      <c r="C36" s="6"/>
      <c r="D36" s="6"/>
      <c r="E36" s="6"/>
      <c r="F36" s="6"/>
      <c r="G36" s="6"/>
      <c r="H36" s="7" t="str">
        <f t="shared" si="0"/>
        <v/>
      </c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>
      <c r="A37" s="6"/>
      <c r="B37" s="6"/>
      <c r="C37" s="6"/>
      <c r="D37" s="6"/>
      <c r="E37" s="6"/>
      <c r="F37" s="6"/>
      <c r="G37" s="6"/>
      <c r="H37" s="7" t="str">
        <f t="shared" si="0"/>
        <v/>
      </c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>
      <c r="A38" s="6"/>
      <c r="B38" s="6"/>
      <c r="C38" s="6"/>
      <c r="D38" s="6"/>
      <c r="E38" s="6"/>
      <c r="F38" s="6"/>
      <c r="G38" s="6"/>
      <c r="H38" s="7" t="str">
        <f t="shared" si="0"/>
        <v/>
      </c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>
      <c r="A39" s="6"/>
      <c r="B39" s="6"/>
      <c r="C39" s="6"/>
      <c r="D39" s="6"/>
      <c r="E39" s="6"/>
      <c r="F39" s="6"/>
      <c r="G39" s="6"/>
      <c r="H39" s="7" t="str">
        <f t="shared" si="0"/>
        <v/>
      </c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>
      <c r="A40" s="6"/>
      <c r="B40" s="6"/>
      <c r="C40" s="6"/>
      <c r="D40" s="6"/>
      <c r="E40" s="6"/>
      <c r="F40" s="6"/>
      <c r="G40" s="6"/>
      <c r="H40" s="7" t="str">
        <f t="shared" si="0"/>
        <v/>
      </c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>
      <c r="A41" s="6"/>
      <c r="B41" s="6"/>
      <c r="C41" s="6"/>
      <c r="D41" s="6"/>
      <c r="E41" s="6"/>
      <c r="F41" s="6"/>
      <c r="G41" s="6"/>
      <c r="H41" s="7" t="str">
        <f t="shared" si="0"/>
        <v/>
      </c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>
      <c r="A42" s="6"/>
      <c r="B42" s="6"/>
      <c r="C42" s="6"/>
      <c r="D42" s="6"/>
      <c r="E42" s="6"/>
      <c r="F42" s="6"/>
      <c r="G42" s="6"/>
      <c r="H42" s="7" t="str">
        <f t="shared" si="0"/>
        <v/>
      </c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>
      <c r="A43" s="6"/>
      <c r="B43" s="6"/>
      <c r="C43" s="6"/>
      <c r="D43" s="6"/>
      <c r="E43" s="6"/>
      <c r="F43" s="6"/>
      <c r="G43" s="6"/>
      <c r="H43" s="7" t="str">
        <f t="shared" si="0"/>
        <v/>
      </c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>
      <c r="A44" s="6"/>
      <c r="B44" s="6"/>
      <c r="C44" s="6"/>
      <c r="D44" s="6"/>
      <c r="E44" s="6"/>
      <c r="F44" s="6"/>
      <c r="G44" s="6"/>
      <c r="H44" s="7" t="str">
        <f t="shared" si="0"/>
        <v/>
      </c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>
      <c r="A45" s="6"/>
      <c r="B45" s="6"/>
      <c r="C45" s="6"/>
      <c r="D45" s="6"/>
      <c r="E45" s="6"/>
      <c r="F45" s="6"/>
      <c r="G45" s="6"/>
      <c r="H45" s="7" t="str">
        <f t="shared" si="0"/>
        <v/>
      </c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>
      <c r="A46" s="6"/>
      <c r="B46" s="6"/>
      <c r="C46" s="6"/>
      <c r="D46" s="6"/>
      <c r="E46" s="6"/>
      <c r="F46" s="6"/>
      <c r="G46" s="6"/>
      <c r="H46" s="7" t="str">
        <f t="shared" si="0"/>
        <v/>
      </c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>
      <c r="A47" s="6"/>
      <c r="B47" s="6"/>
      <c r="C47" s="6"/>
      <c r="D47" s="6"/>
      <c r="E47" s="6"/>
      <c r="F47" s="6"/>
      <c r="G47" s="6"/>
      <c r="H47" s="7" t="str">
        <f t="shared" si="0"/>
        <v/>
      </c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>
      <c r="A48" s="6"/>
      <c r="B48" s="6"/>
      <c r="C48" s="6"/>
      <c r="D48" s="6"/>
      <c r="E48" s="6"/>
      <c r="F48" s="6"/>
      <c r="G48" s="6"/>
      <c r="H48" s="7" t="str">
        <f t="shared" si="0"/>
        <v/>
      </c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>
      <c r="A49" s="6"/>
      <c r="B49" s="6"/>
      <c r="C49" s="6"/>
      <c r="D49" s="6"/>
      <c r="E49" s="6"/>
      <c r="F49" s="6"/>
      <c r="G49" s="6"/>
      <c r="H49" s="7" t="str">
        <f t="shared" si="0"/>
        <v/>
      </c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>
      <c r="A50" s="6"/>
      <c r="B50" s="6"/>
      <c r="C50" s="6"/>
      <c r="D50" s="6"/>
      <c r="E50" s="6"/>
      <c r="F50" s="6"/>
      <c r="G50" s="6"/>
      <c r="H50" s="7" t="str">
        <f t="shared" si="0"/>
        <v/>
      </c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</sheetData>
  <mergeCells count="1">
    <mergeCell ref="A1:I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"/>
  <sheetViews>
    <sheetView workbookViewId="0"/>
  </sheetViews>
  <sheetFormatPr defaultRowHeight="14"/>
  <cols>
    <col min="1" max="2" width="16" customWidth="1"/>
    <col min="3" max="3" width="20" customWidth="1"/>
    <col min="4" max="4" width="28" customWidth="1"/>
    <col min="5" max="5" width="42" customWidth="1"/>
    <col min="6" max="6" width="12" customWidth="1"/>
    <col min="7" max="7" width="45" customWidth="1"/>
  </cols>
  <sheetData>
    <row r="1" spans="1:26" ht="18.649999999999999" customHeight="1">
      <c r="A1" s="9" t="s">
        <v>87</v>
      </c>
      <c r="B1" s="9"/>
      <c r="C1" s="9"/>
      <c r="D1" s="9"/>
      <c r="E1" s="9"/>
      <c r="F1" s="9"/>
      <c r="G1" s="9"/>
    </row>
    <row r="3" spans="1:26" ht="22.65" customHeight="1">
      <c r="A3" s="3" t="s">
        <v>18</v>
      </c>
      <c r="B3" s="3" t="s">
        <v>22</v>
      </c>
      <c r="C3" s="3" t="s">
        <v>53</v>
      </c>
      <c r="D3" s="3" t="s">
        <v>88</v>
      </c>
      <c r="E3" s="3" t="s">
        <v>89</v>
      </c>
      <c r="F3" s="3" t="s">
        <v>90</v>
      </c>
      <c r="G3" s="3" t="s">
        <v>91</v>
      </c>
    </row>
    <row r="4" spans="1:26">
      <c r="A4" s="4" t="s">
        <v>25</v>
      </c>
      <c r="B4" s="4" t="s">
        <v>27</v>
      </c>
      <c r="C4" s="4" t="s">
        <v>92</v>
      </c>
      <c r="D4" s="4"/>
      <c r="E4" s="4" t="s">
        <v>93</v>
      </c>
      <c r="F4" s="4" t="s">
        <v>28</v>
      </c>
      <c r="G4" s="4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>
      <c r="A5" s="4" t="s">
        <v>25</v>
      </c>
      <c r="B5" s="4" t="s">
        <v>27</v>
      </c>
      <c r="C5" s="4" t="s">
        <v>72</v>
      </c>
      <c r="D5" s="4"/>
      <c r="E5" s="4" t="s">
        <v>94</v>
      </c>
      <c r="F5" s="4" t="s">
        <v>32</v>
      </c>
      <c r="G5" s="4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>
      <c r="A6" s="4" t="s">
        <v>25</v>
      </c>
      <c r="B6" s="4" t="s">
        <v>27</v>
      </c>
      <c r="C6" s="4" t="s">
        <v>95</v>
      </c>
      <c r="D6" s="4"/>
      <c r="E6" s="4" t="s">
        <v>96</v>
      </c>
      <c r="F6" s="4" t="s">
        <v>32</v>
      </c>
      <c r="G6" s="4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>
      <c r="A7" s="4" t="s">
        <v>25</v>
      </c>
      <c r="B7" s="4" t="s">
        <v>27</v>
      </c>
      <c r="C7" s="4" t="s">
        <v>97</v>
      </c>
      <c r="D7" s="4"/>
      <c r="E7" s="4" t="s">
        <v>98</v>
      </c>
      <c r="F7" s="4" t="s">
        <v>32</v>
      </c>
      <c r="G7" s="4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>
      <c r="A8" s="4" t="s">
        <v>30</v>
      </c>
      <c r="B8" s="4" t="s">
        <v>27</v>
      </c>
      <c r="C8" s="4"/>
      <c r="D8" s="4"/>
      <c r="E8" s="4" t="s">
        <v>99</v>
      </c>
      <c r="F8" s="4"/>
      <c r="G8" s="4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</sheetData>
  <mergeCells count="1">
    <mergeCell ref="A1:G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"/>
  <sheetViews>
    <sheetView workbookViewId="0"/>
  </sheetViews>
  <sheetFormatPr defaultRowHeight="14"/>
  <cols>
    <col min="1" max="1" width="24" customWidth="1"/>
    <col min="2" max="2" width="30" customWidth="1"/>
    <col min="3" max="3" width="14" customWidth="1"/>
    <col min="4" max="4" width="18" customWidth="1"/>
    <col min="5" max="5" width="55" customWidth="1"/>
  </cols>
  <sheetData>
    <row r="1" spans="1:26" ht="18.649999999999999" customHeight="1">
      <c r="A1" s="9" t="s">
        <v>100</v>
      </c>
      <c r="B1" s="9"/>
      <c r="C1" s="9"/>
      <c r="D1" s="9"/>
      <c r="E1" s="9"/>
    </row>
    <row r="3" spans="1:26" ht="22.65" customHeight="1">
      <c r="A3" s="3" t="s">
        <v>101</v>
      </c>
      <c r="B3" s="3" t="s">
        <v>102</v>
      </c>
      <c r="C3" s="3" t="s">
        <v>103</v>
      </c>
      <c r="D3" s="3" t="s">
        <v>104</v>
      </c>
      <c r="E3" s="3" t="s">
        <v>105</v>
      </c>
    </row>
    <row r="4" spans="1:26">
      <c r="A4" s="4" t="s">
        <v>18</v>
      </c>
      <c r="B4" s="4" t="s">
        <v>106</v>
      </c>
      <c r="C4" s="4" t="s">
        <v>107</v>
      </c>
      <c r="D4" s="4" t="s">
        <v>28</v>
      </c>
      <c r="E4" s="4" t="s">
        <v>108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>
      <c r="A5" s="4" t="s">
        <v>19</v>
      </c>
      <c r="B5" s="4" t="s">
        <v>109</v>
      </c>
      <c r="C5" s="4" t="s">
        <v>107</v>
      </c>
      <c r="D5" s="4" t="s">
        <v>28</v>
      </c>
      <c r="E5" s="4" t="s">
        <v>110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>
      <c r="A6" s="4" t="s">
        <v>22</v>
      </c>
      <c r="B6" s="4" t="s">
        <v>106</v>
      </c>
      <c r="C6" s="4" t="s">
        <v>107</v>
      </c>
      <c r="D6" s="4" t="s">
        <v>28</v>
      </c>
      <c r="E6" s="4" t="s">
        <v>111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>
      <c r="A7" s="4" t="s">
        <v>38</v>
      </c>
      <c r="B7" s="4" t="s">
        <v>112</v>
      </c>
      <c r="C7" s="4" t="s">
        <v>113</v>
      </c>
      <c r="D7" s="4" t="s">
        <v>28</v>
      </c>
      <c r="E7" s="4" t="s">
        <v>114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>
      <c r="A8" s="4" t="s">
        <v>39</v>
      </c>
      <c r="B8" s="4" t="s">
        <v>112</v>
      </c>
      <c r="C8" s="4" t="s">
        <v>113</v>
      </c>
      <c r="D8" s="4" t="s">
        <v>28</v>
      </c>
      <c r="E8" s="4" t="s">
        <v>115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>
      <c r="A9" s="4" t="s">
        <v>40</v>
      </c>
      <c r="B9" s="4" t="s">
        <v>112</v>
      </c>
      <c r="C9" s="4" t="s">
        <v>113</v>
      </c>
      <c r="D9" s="4" t="s">
        <v>28</v>
      </c>
      <c r="E9" s="4" t="s">
        <v>116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ht="28">
      <c r="A10" s="4" t="s">
        <v>41</v>
      </c>
      <c r="B10" s="4" t="s">
        <v>117</v>
      </c>
      <c r="C10" s="4" t="s">
        <v>113</v>
      </c>
      <c r="D10" s="4" t="s">
        <v>28</v>
      </c>
      <c r="E10" s="4" t="s">
        <v>118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>
      <c r="A11" s="4" t="s">
        <v>62</v>
      </c>
      <c r="B11" s="4" t="s">
        <v>119</v>
      </c>
      <c r="C11" s="4" t="s">
        <v>113</v>
      </c>
      <c r="D11" s="4" t="s">
        <v>120</v>
      </c>
      <c r="E11" s="4" t="s">
        <v>121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>
      <c r="A12" s="4" t="s">
        <v>89</v>
      </c>
      <c r="B12" s="4" t="s">
        <v>13</v>
      </c>
      <c r="C12" s="4" t="s">
        <v>107</v>
      </c>
      <c r="D12" s="4" t="s">
        <v>122</v>
      </c>
      <c r="E12" s="4" t="s">
        <v>123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</sheetData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LEIA-ME</vt:lpstr>
      <vt:lpstr>Periodos</vt:lpstr>
      <vt:lpstr>Visao_Geral</vt:lpstr>
      <vt:lpstr>Visitas</vt:lpstr>
      <vt:lpstr>Pesquisas</vt:lpstr>
      <vt:lpstr>Campanhas</vt:lpstr>
      <vt:lpstr>Filtros_NF</vt:lpstr>
      <vt:lpstr>Galeria</vt:lpstr>
      <vt:lpstr>Dicionario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Geysa Sechi - Tecfil - TRADE MARKETING</dc:creator>
  <cp:lastModifiedBy>Geysa Sechi - Tecfil - TRADE MARKETING</cp:lastModifiedBy>
  <dcterms:created xsi:type="dcterms:W3CDTF">2026-08-10T13:27:04Z</dcterms:created>
  <dcterms:modified xsi:type="dcterms:W3CDTF">2026-08-10T17:21:38Z</dcterms:modified>
</cp:coreProperties>
</file>