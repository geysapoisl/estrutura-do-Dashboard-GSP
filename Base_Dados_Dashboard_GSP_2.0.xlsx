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012135\Downloads\"/>
    </mc:Choice>
  </mc:AlternateContent>
  <xr:revisionPtr revIDLastSave="0" documentId="13_ncr:1_{DD4CC58C-694B-4FE6-8087-2A30D8B6939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LEIA-ME" sheetId="1" r:id="rId1"/>
    <sheet name="Periodos" sheetId="2" r:id="rId2"/>
    <sheet name="Visao_Geral" sheetId="3" r:id="rId3"/>
    <sheet name="Visitas" sheetId="4" r:id="rId4"/>
    <sheet name="Pesquisas" sheetId="5" r:id="rId5"/>
    <sheet name="Campanhas" sheetId="6" r:id="rId6"/>
    <sheet name="Filtros_NF" sheetId="7" r:id="rId7"/>
    <sheet name="Galeria" sheetId="8" r:id="rId8"/>
    <sheet name="Dicionari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7" l="1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10" i="6"/>
  <c r="H9" i="6"/>
  <c r="H8" i="6"/>
  <c r="H7" i="6"/>
  <c r="H6" i="6"/>
  <c r="H5" i="6"/>
  <c r="H4" i="6"/>
</calcChain>
</file>

<file path=xl/sharedStrings.xml><?xml version="1.0" encoding="utf-8"?>
<sst xmlns="http://schemas.openxmlformats.org/spreadsheetml/2006/main" count="242" uniqueCount="126">
  <si>
    <t>DASHBOARD GSP 2.0 | PLANILHA-MÃE</t>
  </si>
  <si>
    <t>Objetivo</t>
  </si>
  <si>
    <t>Esta planilha será a fonte única de dados do dashboard publicado no GitHub.</t>
  </si>
  <si>
    <t>Como atualizar</t>
  </si>
  <si>
    <t>Inclua os dados do novo período nas abas correspondentes, salve o arquivo e envie a nova versão ao GitHub.</t>
  </si>
  <si>
    <t>Chave do período</t>
  </si>
  <si>
    <t>Use sempre o mesmo código de período em todas as abas, por exemplo: 2026-05-06, 2026-07, 2026-08.</t>
  </si>
  <si>
    <t>Nome exibido</t>
  </si>
  <si>
    <t>É o texto que aparecerá no seletor do dashboard, por exemplo: Maio • Junho 2026 ou Julho 2026.</t>
  </si>
  <si>
    <t>Período atual</t>
  </si>
  <si>
    <t>Maio • Junho 2026 foi pré-preenchido com os números que já definimos no projeto quando disponíveis.</t>
  </si>
  <si>
    <t>Campos em branco</t>
  </si>
  <si>
    <t>Foram deixados vazios quando o valor exato não estava confirmado na conversa; não inventamos dados.</t>
  </si>
  <si>
    <t>Galeria</t>
  </si>
  <si>
    <t>A planilha guarda o caminho relativo das fotos no repositório. As imagens continuam dentro de assets/fotos/.</t>
  </si>
  <si>
    <t>Versão futura</t>
  </si>
  <si>
    <t>A coluna Promotor já está prevista para facilitar a consolidação gerencial da versão 3.0.</t>
  </si>
  <si>
    <t>Dashboard GSP 2.0 | Base de Dados | Periodos</t>
  </si>
  <si>
    <t>periodo_id</t>
  </si>
  <si>
    <t>periodo_exibicao</t>
  </si>
  <si>
    <t>ano</t>
  </si>
  <si>
    <t>mes_ordem</t>
  </si>
  <si>
    <t>promotor</t>
  </si>
  <si>
    <t>ativo</t>
  </si>
  <si>
    <t>observacao</t>
  </si>
  <si>
    <t>2026-05-06</t>
  </si>
  <si>
    <t>Maio • Junho 2026</t>
  </si>
  <si>
    <t>Geysa</t>
  </si>
  <si>
    <t>SIM</t>
  </si>
  <si>
    <t>Período base da versão 1.0</t>
  </si>
  <si>
    <t>2026-07</t>
  </si>
  <si>
    <t>Julho 2026</t>
  </si>
  <si>
    <t>NÃO</t>
  </si>
  <si>
    <t>Preencher quando os dados de julho estiverem fechados</t>
  </si>
  <si>
    <t>2026-08</t>
  </si>
  <si>
    <t>Agosto 2026</t>
  </si>
  <si>
    <t>Linha modelo para o próximo mês</t>
  </si>
  <si>
    <t>Dashboard GSP 2.0 | Base de Dados | Visao_Geral</t>
  </si>
  <si>
    <t>visitas</t>
  </si>
  <si>
    <t>pesquisas</t>
  </si>
  <si>
    <t>campanhas</t>
  </si>
  <si>
    <t>pecas_alcancadas</t>
  </si>
  <si>
    <t>novos_clientes</t>
  </si>
  <si>
    <t>capacitacoes</t>
  </si>
  <si>
    <t>visitas_distribuidores</t>
  </si>
  <si>
    <t>visitas_varejo</t>
  </si>
  <si>
    <t>Dashboard GSP 2.0 | Base de Dados | Visitas</t>
  </si>
  <si>
    <t>total_visitas</t>
  </si>
  <si>
    <t>distribuidores</t>
  </si>
  <si>
    <t>varejo</t>
  </si>
  <si>
    <t>Preencher peças por canal conforme base definitiva do dashboard</t>
  </si>
  <si>
    <t>Dashboard GSP 2.0 | Base de Dados | Pesquisas</t>
  </si>
  <si>
    <t>total_pesquisas</t>
  </si>
  <si>
    <t>categoria</t>
  </si>
  <si>
    <t>item</t>
  </si>
  <si>
    <t>quantidade</t>
  </si>
  <si>
    <t>TOTAL</t>
  </si>
  <si>
    <t>Pesquisas realizadas</t>
  </si>
  <si>
    <t>Dashboard GSP 2.0 | Base de Dados | Campanhas</t>
  </si>
  <si>
    <t>tipo_campanha</t>
  </si>
  <si>
    <t>mes_referencia</t>
  </si>
  <si>
    <t>qtd_campanhas</t>
  </si>
  <si>
    <t>pecas_provisionadas</t>
  </si>
  <si>
    <t>percentual_atingimento</t>
  </si>
  <si>
    <t>Rodada de Prêmios</t>
  </si>
  <si>
    <t>Maio</t>
  </si>
  <si>
    <t>6 em maio; total do período = 14</t>
  </si>
  <si>
    <t>Junho</t>
  </si>
  <si>
    <t>8 em junho</t>
  </si>
  <si>
    <t>Filtros NF "apadrinhamento"</t>
  </si>
  <si>
    <t>21 em maio; total planejado do período = 30</t>
  </si>
  <si>
    <t>9 em junho</t>
  </si>
  <si>
    <t>Distribuidores</t>
  </si>
  <si>
    <t>Período</t>
  </si>
  <si>
    <t>Preencher os dados consolidados da campanha de distribuidores</t>
  </si>
  <si>
    <t>Julho</t>
  </si>
  <si>
    <t>Agosto</t>
  </si>
  <si>
    <t>Dashboard GSP 2.0 | Base de Dados | Filtros_NF</t>
  </si>
  <si>
    <t>campanha_id</t>
  </si>
  <si>
    <t>mes</t>
  </si>
  <si>
    <t>status</t>
  </si>
  <si>
    <t>atingimento</t>
  </si>
  <si>
    <t>NF-01</t>
  </si>
  <si>
    <t>Fechada</t>
  </si>
  <si>
    <t>Use uma linha por campanha NF fechada</t>
  </si>
  <si>
    <t>NF-02</t>
  </si>
  <si>
    <t>NF-03</t>
  </si>
  <si>
    <t>Dashboard GSP 2.0 | Base de Dados | Galeria</t>
  </si>
  <si>
    <t>arquivo</t>
  </si>
  <si>
    <t>caminho_relativo</t>
  </si>
  <si>
    <t>destaque</t>
  </si>
  <si>
    <t>legenda</t>
  </si>
  <si>
    <t>Destaques</t>
  </si>
  <si>
    <t>assets/fotos/destaques/</t>
  </si>
  <si>
    <t>assets/fotos/Distribuidores/</t>
  </si>
  <si>
    <t>Palestras</t>
  </si>
  <si>
    <t>assets/fotos/palestras/</t>
  </si>
  <si>
    <t>Visitas</t>
  </si>
  <si>
    <t>assets/fotos/visitas/</t>
  </si>
  <si>
    <t>assets/fotos/2026-07/</t>
  </si>
  <si>
    <t>Dashboard GSP 2.0 | Base de Dados | Dicionario</t>
  </si>
  <si>
    <t>campo</t>
  </si>
  <si>
    <t>aba</t>
  </si>
  <si>
    <t>tipo</t>
  </si>
  <si>
    <t>obrigatorio</t>
  </si>
  <si>
    <t>uso_no_dashboard</t>
  </si>
  <si>
    <t>Todas</t>
  </si>
  <si>
    <t>Texto</t>
  </si>
  <si>
    <t>Chave usada pelo seletor de período</t>
  </si>
  <si>
    <t>Periodos</t>
  </si>
  <si>
    <t>Texto mostrado ao usuário</t>
  </si>
  <si>
    <t>Prepara a base para múltiplos promotores</t>
  </si>
  <si>
    <t>Visao_Geral</t>
  </si>
  <si>
    <t>Número</t>
  </si>
  <si>
    <t>KPI de visitas</t>
  </si>
  <si>
    <t>KPI de pesquisas</t>
  </si>
  <si>
    <t>KPI de campanhas</t>
  </si>
  <si>
    <t>Visao_Geral/Campanhas/Filtros_NF</t>
  </si>
  <si>
    <t>KPI e métricas de campanha</t>
  </si>
  <si>
    <t>Campanhas/Filtros_NF</t>
  </si>
  <si>
    <t>Quando aplicável</t>
  </si>
  <si>
    <t>Base para cálculo de atingimento</t>
  </si>
  <si>
    <t>Quando houver foto</t>
  </si>
  <si>
    <t>Local da imagem dentro do repositório</t>
  </si>
  <si>
    <t>visitas_maio</t>
  </si>
  <si>
    <t>visitas_junho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</si>
</sst>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D4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4"/>
  <cols>
    <col min="1" max="1" width="22" customWidth="1"/>
    <col min="2" max="2" width="75" customWidth="1"/>
  </cols>
  <sheetData>
    <row r="1" spans="1:8" ht="21.4" customHeight="1">
      <c r="A1" s="8" t="s">
        <v>0</v>
      </c>
      <c r="B1" s="8"/>
      <c r="C1" s="8"/>
      <c r="D1" s="8"/>
      <c r="E1" s="8"/>
      <c r="F1" s="8"/>
      <c r="G1" s="8"/>
      <c r="H1" s="8"/>
    </row>
    <row r="3" spans="1:8">
      <c r="A3" s="1" t="s">
        <v>1</v>
      </c>
      <c r="B3" s="2" t="s">
        <v>2</v>
      </c>
    </row>
    <row r="4" spans="1:8" ht="28">
      <c r="A4" s="1" t="s">
        <v>3</v>
      </c>
      <c r="B4" s="2" t="s">
        <v>4</v>
      </c>
    </row>
    <row r="5" spans="1:8" ht="28">
      <c r="A5" s="1" t="s">
        <v>5</v>
      </c>
      <c r="B5" s="2" t="s">
        <v>6</v>
      </c>
    </row>
    <row r="6" spans="1:8" ht="28">
      <c r="A6" s="1" t="s">
        <v>7</v>
      </c>
      <c r="B6" s="2" t="s">
        <v>8</v>
      </c>
    </row>
    <row r="7" spans="1:8" ht="28">
      <c r="A7" s="1" t="s">
        <v>9</v>
      </c>
      <c r="B7" s="2" t="s">
        <v>10</v>
      </c>
    </row>
    <row r="8" spans="1:8" ht="28">
      <c r="A8" s="1" t="s">
        <v>11</v>
      </c>
      <c r="B8" s="2" t="s">
        <v>12</v>
      </c>
    </row>
    <row r="9" spans="1:8" ht="28">
      <c r="A9" s="1" t="s">
        <v>13</v>
      </c>
      <c r="B9" s="2" t="s">
        <v>14</v>
      </c>
    </row>
    <row r="10" spans="1:8">
      <c r="A10" s="1" t="s">
        <v>15</v>
      </c>
      <c r="B10" s="2" t="s">
        <v>16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sqref="A1:G1"/>
    </sheetView>
  </sheetViews>
  <sheetFormatPr defaultRowHeight="14"/>
  <cols>
    <col min="1" max="1" width="16" customWidth="1"/>
    <col min="2" max="2" width="24" customWidth="1"/>
    <col min="3" max="3" width="10" customWidth="1"/>
    <col min="4" max="4" width="12" customWidth="1"/>
    <col min="5" max="5" width="16" customWidth="1"/>
    <col min="6" max="6" width="10" customWidth="1"/>
    <col min="7" max="7" width="42" customWidth="1"/>
  </cols>
  <sheetData>
    <row r="1" spans="1:26" ht="18.649999999999999" customHeight="1">
      <c r="A1" s="9" t="s">
        <v>17</v>
      </c>
      <c r="B1" s="9"/>
      <c r="C1" s="9"/>
      <c r="D1" s="9"/>
      <c r="E1" s="9"/>
      <c r="F1" s="9"/>
      <c r="G1" s="9"/>
    </row>
    <row r="3" spans="1:26" ht="22.6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</row>
    <row r="4" spans="1:26">
      <c r="A4" s="4" t="s">
        <v>25</v>
      </c>
      <c r="B4" s="4" t="s">
        <v>26</v>
      </c>
      <c r="C4" s="4">
        <v>2026</v>
      </c>
      <c r="D4" s="4">
        <v>6</v>
      </c>
      <c r="E4" s="4" t="s">
        <v>27</v>
      </c>
      <c r="F4" s="4" t="s">
        <v>28</v>
      </c>
      <c r="G4" s="4" t="s">
        <v>29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">
      <c r="A5" s="4" t="s">
        <v>30</v>
      </c>
      <c r="B5" s="4" t="s">
        <v>31</v>
      </c>
      <c r="C5" s="4">
        <v>2026</v>
      </c>
      <c r="D5" s="4">
        <v>7</v>
      </c>
      <c r="E5" s="4" t="s">
        <v>27</v>
      </c>
      <c r="F5" s="4" t="s">
        <v>32</v>
      </c>
      <c r="G5" s="4" t="s">
        <v>33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34</v>
      </c>
      <c r="B6" s="4" t="s">
        <v>35</v>
      </c>
      <c r="C6" s="4">
        <v>2026</v>
      </c>
      <c r="D6" s="4">
        <v>8</v>
      </c>
      <c r="E6" s="4" t="s">
        <v>27</v>
      </c>
      <c r="F6" s="4" t="s">
        <v>32</v>
      </c>
      <c r="G6" s="4" t="s">
        <v>36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activeCell="B14" sqref="B14"/>
    </sheetView>
  </sheetViews>
  <sheetFormatPr defaultRowHeight="14"/>
  <cols>
    <col min="1" max="2" width="16" customWidth="1"/>
    <col min="3" max="5" width="12" customWidth="1"/>
    <col min="6" max="6" width="18" customWidth="1"/>
    <col min="7" max="7" width="16" customWidth="1"/>
    <col min="8" max="8" width="14" customWidth="1"/>
    <col min="9" max="9" width="20" customWidth="1"/>
    <col min="10" max="10" width="14" customWidth="1"/>
  </cols>
  <sheetData>
    <row r="1" spans="1:26" ht="18.649999999999999" customHeight="1">
      <c r="A1" s="9" t="s">
        <v>37</v>
      </c>
      <c r="B1" s="9"/>
      <c r="C1" s="9"/>
      <c r="D1" s="9"/>
      <c r="E1" s="9"/>
      <c r="F1" s="9"/>
      <c r="G1" s="9"/>
      <c r="H1" s="9"/>
      <c r="I1" s="9"/>
      <c r="J1" s="9"/>
    </row>
    <row r="3" spans="1:26" ht="22.65" customHeight="1">
      <c r="A3" s="3" t="s">
        <v>18</v>
      </c>
      <c r="B3" s="3" t="s">
        <v>22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</row>
    <row r="4" spans="1:26">
      <c r="A4" s="4" t="s">
        <v>25</v>
      </c>
      <c r="B4" s="4" t="s">
        <v>27</v>
      </c>
      <c r="C4" s="4">
        <v>153</v>
      </c>
      <c r="D4" s="4">
        <v>24</v>
      </c>
      <c r="E4" s="4">
        <v>51</v>
      </c>
      <c r="F4" s="4">
        <v>15631</v>
      </c>
      <c r="G4" s="4">
        <v>19</v>
      </c>
      <c r="H4" s="4">
        <v>2</v>
      </c>
      <c r="I4" s="4">
        <v>38</v>
      </c>
      <c r="J4" s="4">
        <v>114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30</v>
      </c>
      <c r="B5" s="4" t="s">
        <v>27</v>
      </c>
      <c r="C5" s="4"/>
      <c r="D5" s="4"/>
      <c r="E5" s="4"/>
      <c r="F5" s="4"/>
      <c r="G5" s="4"/>
      <c r="H5" s="4"/>
      <c r="I5" s="4"/>
      <c r="J5" s="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34</v>
      </c>
      <c r="B6" s="4" t="s">
        <v>27</v>
      </c>
      <c r="C6" s="4"/>
      <c r="D6" s="4"/>
      <c r="E6" s="4"/>
      <c r="F6" s="4"/>
      <c r="G6" s="4"/>
      <c r="H6" s="4"/>
      <c r="I6" s="4"/>
      <c r="J6" s="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tabSelected="1" zoomScale="90" zoomScaleNormal="90" workbookViewId="0">
      <selection activeCell="G4" sqref="G4"/>
    </sheetView>
  </sheetViews>
  <sheetFormatPr defaultRowHeight="14"/>
  <cols>
    <col min="1" max="2" width="16" customWidth="1"/>
    <col min="3" max="3" width="14" customWidth="1"/>
    <col min="4" max="4" width="16" customWidth="1"/>
    <col min="5" max="5" width="12" customWidth="1"/>
    <col min="6" max="6" width="22" customWidth="1"/>
    <col min="7" max="7" width="16" customWidth="1"/>
    <col min="8" max="8" width="45" customWidth="1"/>
  </cols>
  <sheetData>
    <row r="1" spans="1:26" ht="18.649999999999999" customHeight="1">
      <c r="A1" s="9" t="s">
        <v>46</v>
      </c>
      <c r="B1" s="9"/>
      <c r="C1" s="9"/>
      <c r="D1" s="9"/>
      <c r="E1" s="9"/>
      <c r="F1" s="9"/>
      <c r="G1" s="9"/>
      <c r="H1" s="9"/>
    </row>
    <row r="3" spans="1:26" ht="22.65" customHeight="1">
      <c r="A3" s="3" t="s">
        <v>18</v>
      </c>
      <c r="B3" s="3" t="s">
        <v>22</v>
      </c>
      <c r="C3" s="3" t="s">
        <v>47</v>
      </c>
      <c r="D3" s="3" t="s">
        <v>48</v>
      </c>
      <c r="E3" s="3" t="s">
        <v>49</v>
      </c>
      <c r="F3" s="3" t="s">
        <v>124</v>
      </c>
      <c r="G3" s="3" t="s">
        <v>125</v>
      </c>
      <c r="H3" s="3" t="s">
        <v>24</v>
      </c>
    </row>
    <row r="4" spans="1:26" ht="28">
      <c r="A4" s="4" t="s">
        <v>25</v>
      </c>
      <c r="B4" s="4" t="s">
        <v>27</v>
      </c>
      <c r="C4" s="4">
        <v>152</v>
      </c>
      <c r="D4" s="4">
        <v>38</v>
      </c>
      <c r="E4" s="4">
        <v>114</v>
      </c>
      <c r="F4" s="4">
        <v>89</v>
      </c>
      <c r="G4" s="4">
        <v>63</v>
      </c>
      <c r="H4" s="4" t="s">
        <v>50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30</v>
      </c>
      <c r="B5" s="4" t="s">
        <v>27</v>
      </c>
      <c r="C5" s="4"/>
      <c r="D5" s="4"/>
      <c r="E5" s="4"/>
      <c r="F5" s="4"/>
      <c r="G5" s="4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34</v>
      </c>
      <c r="B6" s="4" t="s">
        <v>27</v>
      </c>
      <c r="C6" s="4"/>
      <c r="D6" s="4"/>
      <c r="E6" s="4"/>
      <c r="F6" s="4"/>
      <c r="G6" s="4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"/>
  <cols>
    <col min="1" max="3" width="16" customWidth="1"/>
    <col min="4" max="4" width="18" customWidth="1"/>
    <col min="5" max="5" width="32" customWidth="1"/>
    <col min="6" max="6" width="14" customWidth="1"/>
    <col min="7" max="7" width="40" customWidth="1"/>
  </cols>
  <sheetData>
    <row r="1" spans="1:26" ht="18.649999999999999" customHeight="1">
      <c r="A1" s="9" t="s">
        <v>51</v>
      </c>
      <c r="B1" s="9"/>
      <c r="C1" s="9"/>
      <c r="D1" s="9"/>
      <c r="E1" s="9"/>
      <c r="F1" s="9"/>
      <c r="G1" s="9"/>
    </row>
    <row r="3" spans="1:26" ht="22.65" customHeight="1">
      <c r="A3" s="3" t="s">
        <v>18</v>
      </c>
      <c r="B3" s="3" t="s">
        <v>22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24</v>
      </c>
    </row>
    <row r="4" spans="1:26">
      <c r="A4" s="4" t="s">
        <v>25</v>
      </c>
      <c r="B4" s="4" t="s">
        <v>27</v>
      </c>
      <c r="C4" s="4">
        <v>24</v>
      </c>
      <c r="D4" s="4" t="s">
        <v>56</v>
      </c>
      <c r="E4" s="4" t="s">
        <v>57</v>
      </c>
      <c r="F4" s="4">
        <v>24</v>
      </c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30</v>
      </c>
      <c r="B5" s="4" t="s">
        <v>27</v>
      </c>
      <c r="C5" s="4"/>
      <c r="D5" s="4"/>
      <c r="E5" s="4"/>
      <c r="F5" s="4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34</v>
      </c>
      <c r="B6" s="4" t="s">
        <v>27</v>
      </c>
      <c r="C6" s="4"/>
      <c r="D6" s="4"/>
      <c r="E6" s="4"/>
      <c r="F6" s="4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"/>
  <cols>
    <col min="1" max="2" width="16" customWidth="1"/>
    <col min="3" max="3" width="30" customWidth="1"/>
    <col min="4" max="4" width="18" customWidth="1"/>
    <col min="5" max="5" width="16" customWidth="1"/>
    <col min="6" max="6" width="20" customWidth="1"/>
    <col min="7" max="7" width="18" customWidth="1"/>
    <col min="8" max="8" width="20" customWidth="1"/>
    <col min="9" max="9" width="48" customWidth="1"/>
  </cols>
  <sheetData>
    <row r="1" spans="1:26" ht="18.649999999999999" customHeight="1">
      <c r="A1" s="9" t="s">
        <v>58</v>
      </c>
      <c r="B1" s="9"/>
      <c r="C1" s="9"/>
      <c r="D1" s="9"/>
      <c r="E1" s="9"/>
      <c r="F1" s="9"/>
      <c r="G1" s="9"/>
      <c r="H1" s="9"/>
      <c r="I1" s="9"/>
    </row>
    <row r="3" spans="1:26" ht="22.65" customHeight="1">
      <c r="A3" s="3" t="s">
        <v>18</v>
      </c>
      <c r="B3" s="3" t="s">
        <v>22</v>
      </c>
      <c r="C3" s="3" t="s">
        <v>59</v>
      </c>
      <c r="D3" s="3" t="s">
        <v>60</v>
      </c>
      <c r="E3" s="3" t="s">
        <v>61</v>
      </c>
      <c r="F3" s="3" t="s">
        <v>62</v>
      </c>
      <c r="G3" s="3" t="s">
        <v>41</v>
      </c>
      <c r="H3" s="3" t="s">
        <v>63</v>
      </c>
      <c r="I3" s="3" t="s">
        <v>24</v>
      </c>
    </row>
    <row r="4" spans="1:26">
      <c r="A4" s="4" t="s">
        <v>25</v>
      </c>
      <c r="B4" s="4" t="s">
        <v>27</v>
      </c>
      <c r="C4" s="4" t="s">
        <v>64</v>
      </c>
      <c r="D4" s="4" t="s">
        <v>65</v>
      </c>
      <c r="E4" s="4">
        <v>6</v>
      </c>
      <c r="F4" s="4"/>
      <c r="G4" s="4"/>
      <c r="H4" s="5" t="str">
        <f t="shared" ref="H4:H10" si="0">IF(OR(F4="",G4=""),"",G4/F4)</f>
        <v/>
      </c>
      <c r="I4" s="4" t="s">
        <v>66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25</v>
      </c>
      <c r="B5" s="4" t="s">
        <v>27</v>
      </c>
      <c r="C5" s="4" t="s">
        <v>64</v>
      </c>
      <c r="D5" s="4" t="s">
        <v>67</v>
      </c>
      <c r="E5" s="4">
        <v>8</v>
      </c>
      <c r="F5" s="4"/>
      <c r="G5" s="4"/>
      <c r="H5" s="5" t="str">
        <f t="shared" si="0"/>
        <v/>
      </c>
      <c r="I5" s="4" t="s">
        <v>68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25</v>
      </c>
      <c r="B6" s="4" t="s">
        <v>27</v>
      </c>
      <c r="C6" s="4" t="s">
        <v>69</v>
      </c>
      <c r="D6" s="4" t="s">
        <v>65</v>
      </c>
      <c r="E6" s="4">
        <v>21</v>
      </c>
      <c r="F6" s="4"/>
      <c r="G6" s="4"/>
      <c r="H6" s="5" t="str">
        <f t="shared" si="0"/>
        <v/>
      </c>
      <c r="I6" s="4" t="s">
        <v>70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25</v>
      </c>
      <c r="B7" s="4" t="s">
        <v>27</v>
      </c>
      <c r="C7" s="4" t="s">
        <v>69</v>
      </c>
      <c r="D7" s="4" t="s">
        <v>67</v>
      </c>
      <c r="E7" s="4">
        <v>9</v>
      </c>
      <c r="F7" s="4"/>
      <c r="G7" s="4"/>
      <c r="H7" s="5" t="str">
        <f t="shared" si="0"/>
        <v/>
      </c>
      <c r="I7" s="4" t="s">
        <v>71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">
      <c r="A8" s="4" t="s">
        <v>25</v>
      </c>
      <c r="B8" s="4" t="s">
        <v>27</v>
      </c>
      <c r="C8" s="4" t="s">
        <v>72</v>
      </c>
      <c r="D8" s="4" t="s">
        <v>73</v>
      </c>
      <c r="E8" s="4"/>
      <c r="F8" s="4"/>
      <c r="G8" s="4"/>
      <c r="H8" s="5" t="str">
        <f t="shared" si="0"/>
        <v/>
      </c>
      <c r="I8" s="4" t="s">
        <v>74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 t="s">
        <v>30</v>
      </c>
      <c r="B9" s="4" t="s">
        <v>27</v>
      </c>
      <c r="C9" s="4"/>
      <c r="D9" s="4" t="s">
        <v>75</v>
      </c>
      <c r="E9" s="4"/>
      <c r="F9" s="4"/>
      <c r="G9" s="4"/>
      <c r="H9" s="5" t="str">
        <f t="shared" si="0"/>
        <v/>
      </c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4" t="s">
        <v>34</v>
      </c>
      <c r="B10" s="4" t="s">
        <v>27</v>
      </c>
      <c r="C10" s="4"/>
      <c r="D10" s="4" t="s">
        <v>76</v>
      </c>
      <c r="E10" s="4"/>
      <c r="F10" s="4"/>
      <c r="G10" s="4"/>
      <c r="H10" s="5" t="str">
        <f t="shared" si="0"/>
        <v/>
      </c>
      <c r="I10" s="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4"/>
  <cols>
    <col min="1" max="2" width="16" customWidth="1"/>
    <col min="3" max="3" width="14" customWidth="1"/>
    <col min="4" max="4" width="12" customWidth="1"/>
    <col min="5" max="5" width="14" customWidth="1"/>
    <col min="6" max="6" width="20" customWidth="1"/>
    <col min="7" max="7" width="18" customWidth="1"/>
    <col min="8" max="8" width="14" customWidth="1"/>
    <col min="9" max="9" width="45" customWidth="1"/>
  </cols>
  <sheetData>
    <row r="1" spans="1:26" ht="18.649999999999999" customHeight="1">
      <c r="A1" s="9" t="s">
        <v>77</v>
      </c>
      <c r="B1" s="9"/>
      <c r="C1" s="9"/>
      <c r="D1" s="9"/>
      <c r="E1" s="9"/>
      <c r="F1" s="9"/>
      <c r="G1" s="9"/>
      <c r="H1" s="9"/>
      <c r="I1" s="9"/>
    </row>
    <row r="3" spans="1:26" ht="22.65" customHeight="1">
      <c r="A3" s="3" t="s">
        <v>18</v>
      </c>
      <c r="B3" s="3" t="s">
        <v>22</v>
      </c>
      <c r="C3" s="3" t="s">
        <v>78</v>
      </c>
      <c r="D3" s="3" t="s">
        <v>79</v>
      </c>
      <c r="E3" s="3" t="s">
        <v>80</v>
      </c>
      <c r="F3" s="3" t="s">
        <v>62</v>
      </c>
      <c r="G3" s="3" t="s">
        <v>41</v>
      </c>
      <c r="H3" s="3" t="s">
        <v>81</v>
      </c>
      <c r="I3" s="3" t="s">
        <v>24</v>
      </c>
    </row>
    <row r="4" spans="1:26">
      <c r="A4" s="4" t="s">
        <v>25</v>
      </c>
      <c r="B4" s="4" t="s">
        <v>27</v>
      </c>
      <c r="C4" s="4" t="s">
        <v>82</v>
      </c>
      <c r="D4" s="4" t="s">
        <v>65</v>
      </c>
      <c r="E4" s="4" t="s">
        <v>83</v>
      </c>
      <c r="F4" s="4"/>
      <c r="G4" s="4"/>
      <c r="H4" s="5" t="str">
        <f t="shared" ref="H4:H50" si="0">IF(OR(F4="",G4=""),"",G4/F4)</f>
        <v/>
      </c>
      <c r="I4" s="4" t="s">
        <v>84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25</v>
      </c>
      <c r="B5" s="4" t="s">
        <v>27</v>
      </c>
      <c r="C5" s="4" t="s">
        <v>85</v>
      </c>
      <c r="D5" s="4" t="s">
        <v>65</v>
      </c>
      <c r="E5" s="4" t="s">
        <v>83</v>
      </c>
      <c r="F5" s="4"/>
      <c r="G5" s="4"/>
      <c r="H5" s="5" t="str">
        <f t="shared" si="0"/>
        <v/>
      </c>
      <c r="I5" s="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25</v>
      </c>
      <c r="B6" s="4" t="s">
        <v>27</v>
      </c>
      <c r="C6" s="4" t="s">
        <v>86</v>
      </c>
      <c r="D6" s="4" t="s">
        <v>65</v>
      </c>
      <c r="E6" s="4" t="s">
        <v>83</v>
      </c>
      <c r="F6" s="4"/>
      <c r="G6" s="4"/>
      <c r="H6" s="5" t="str">
        <f t="shared" si="0"/>
        <v/>
      </c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30</v>
      </c>
      <c r="B7" s="4" t="s">
        <v>27</v>
      </c>
      <c r="C7" s="4" t="s">
        <v>82</v>
      </c>
      <c r="D7" s="4" t="s">
        <v>75</v>
      </c>
      <c r="E7" s="4"/>
      <c r="F7" s="4"/>
      <c r="G7" s="4"/>
      <c r="H7" s="5" t="str">
        <f t="shared" si="0"/>
        <v/>
      </c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7" t="str">
        <f t="shared" si="0"/>
        <v/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7" t="str">
        <f t="shared" si="0"/>
        <v/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7" t="str">
        <f t="shared" si="0"/>
        <v/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7" t="str">
        <f t="shared" si="0"/>
        <v/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7" t="str">
        <f t="shared" si="0"/>
        <v/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7" t="str">
        <f t="shared" si="0"/>
        <v/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7" t="str">
        <f t="shared" si="0"/>
        <v/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7" t="str">
        <f t="shared" si="0"/>
        <v/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7" t="str">
        <f t="shared" si="0"/>
        <v/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7" t="str">
        <f t="shared" si="0"/>
        <v/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7" t="str">
        <f t="shared" si="0"/>
        <v/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7" t="str">
        <f t="shared" si="0"/>
        <v/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7" t="str">
        <f t="shared" si="0"/>
        <v/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7" t="str">
        <f t="shared" si="0"/>
        <v/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7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7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7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7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7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7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7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7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7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7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7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7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7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7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7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7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7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7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7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7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7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7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7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7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7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7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7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7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7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"/>
  <cols>
    <col min="1" max="2" width="16" customWidth="1"/>
    <col min="3" max="3" width="20" customWidth="1"/>
    <col min="4" max="4" width="28" customWidth="1"/>
    <col min="5" max="5" width="42" customWidth="1"/>
    <col min="6" max="6" width="12" customWidth="1"/>
    <col min="7" max="7" width="45" customWidth="1"/>
  </cols>
  <sheetData>
    <row r="1" spans="1:26" ht="18.649999999999999" customHeight="1">
      <c r="A1" s="9" t="s">
        <v>87</v>
      </c>
      <c r="B1" s="9"/>
      <c r="C1" s="9"/>
      <c r="D1" s="9"/>
      <c r="E1" s="9"/>
      <c r="F1" s="9"/>
      <c r="G1" s="9"/>
    </row>
    <row r="3" spans="1:26" ht="22.65" customHeight="1">
      <c r="A3" s="3" t="s">
        <v>18</v>
      </c>
      <c r="B3" s="3" t="s">
        <v>22</v>
      </c>
      <c r="C3" s="3" t="s">
        <v>53</v>
      </c>
      <c r="D3" s="3" t="s">
        <v>88</v>
      </c>
      <c r="E3" s="3" t="s">
        <v>89</v>
      </c>
      <c r="F3" s="3" t="s">
        <v>90</v>
      </c>
      <c r="G3" s="3" t="s">
        <v>91</v>
      </c>
    </row>
    <row r="4" spans="1:26">
      <c r="A4" s="4" t="s">
        <v>25</v>
      </c>
      <c r="B4" s="4" t="s">
        <v>27</v>
      </c>
      <c r="C4" s="4" t="s">
        <v>92</v>
      </c>
      <c r="D4" s="4"/>
      <c r="E4" s="4" t="s">
        <v>93</v>
      </c>
      <c r="F4" s="4" t="s">
        <v>28</v>
      </c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25</v>
      </c>
      <c r="B5" s="4" t="s">
        <v>27</v>
      </c>
      <c r="C5" s="4" t="s">
        <v>72</v>
      </c>
      <c r="D5" s="4"/>
      <c r="E5" s="4" t="s">
        <v>94</v>
      </c>
      <c r="F5" s="4" t="s">
        <v>32</v>
      </c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25</v>
      </c>
      <c r="B6" s="4" t="s">
        <v>27</v>
      </c>
      <c r="C6" s="4" t="s">
        <v>95</v>
      </c>
      <c r="D6" s="4"/>
      <c r="E6" s="4" t="s">
        <v>96</v>
      </c>
      <c r="F6" s="4" t="s">
        <v>32</v>
      </c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25</v>
      </c>
      <c r="B7" s="4" t="s">
        <v>27</v>
      </c>
      <c r="C7" s="4" t="s">
        <v>97</v>
      </c>
      <c r="D7" s="4"/>
      <c r="E7" s="4" t="s">
        <v>98</v>
      </c>
      <c r="F7" s="4" t="s">
        <v>32</v>
      </c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4" t="s">
        <v>30</v>
      </c>
      <c r="B8" s="4" t="s">
        <v>27</v>
      </c>
      <c r="C8" s="4"/>
      <c r="D8" s="4"/>
      <c r="E8" s="4" t="s">
        <v>99</v>
      </c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"/>
  <cols>
    <col min="1" max="1" width="24" customWidth="1"/>
    <col min="2" max="2" width="30" customWidth="1"/>
    <col min="3" max="3" width="14" customWidth="1"/>
    <col min="4" max="4" width="18" customWidth="1"/>
    <col min="5" max="5" width="55" customWidth="1"/>
  </cols>
  <sheetData>
    <row r="1" spans="1:26" ht="18.649999999999999" customHeight="1">
      <c r="A1" s="9" t="s">
        <v>100</v>
      </c>
      <c r="B1" s="9"/>
      <c r="C1" s="9"/>
      <c r="D1" s="9"/>
      <c r="E1" s="9"/>
    </row>
    <row r="3" spans="1:26" ht="22.65" customHeight="1">
      <c r="A3" s="3" t="s">
        <v>101</v>
      </c>
      <c r="B3" s="3" t="s">
        <v>102</v>
      </c>
      <c r="C3" s="3" t="s">
        <v>103</v>
      </c>
      <c r="D3" s="3" t="s">
        <v>104</v>
      </c>
      <c r="E3" s="3" t="s">
        <v>105</v>
      </c>
    </row>
    <row r="4" spans="1:26">
      <c r="A4" s="4" t="s">
        <v>18</v>
      </c>
      <c r="B4" s="4" t="s">
        <v>106</v>
      </c>
      <c r="C4" s="4" t="s">
        <v>107</v>
      </c>
      <c r="D4" s="4" t="s">
        <v>28</v>
      </c>
      <c r="E4" s="4" t="s">
        <v>108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 t="s">
        <v>19</v>
      </c>
      <c r="B5" s="4" t="s">
        <v>109</v>
      </c>
      <c r="C5" s="4" t="s">
        <v>107</v>
      </c>
      <c r="D5" s="4" t="s">
        <v>28</v>
      </c>
      <c r="E5" s="4" t="s">
        <v>110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 t="s">
        <v>22</v>
      </c>
      <c r="B6" s="4" t="s">
        <v>106</v>
      </c>
      <c r="C6" s="4" t="s">
        <v>107</v>
      </c>
      <c r="D6" s="4" t="s">
        <v>28</v>
      </c>
      <c r="E6" s="4" t="s">
        <v>111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 t="s">
        <v>38</v>
      </c>
      <c r="B7" s="4" t="s">
        <v>112</v>
      </c>
      <c r="C7" s="4" t="s">
        <v>113</v>
      </c>
      <c r="D7" s="4" t="s">
        <v>28</v>
      </c>
      <c r="E7" s="4" t="s">
        <v>114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4" t="s">
        <v>39</v>
      </c>
      <c r="B8" s="4" t="s">
        <v>112</v>
      </c>
      <c r="C8" s="4" t="s">
        <v>113</v>
      </c>
      <c r="D8" s="4" t="s">
        <v>28</v>
      </c>
      <c r="E8" s="4" t="s">
        <v>115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 t="s">
        <v>40</v>
      </c>
      <c r="B9" s="4" t="s">
        <v>112</v>
      </c>
      <c r="C9" s="4" t="s">
        <v>113</v>
      </c>
      <c r="D9" s="4" t="s">
        <v>28</v>
      </c>
      <c r="E9" s="4" t="s">
        <v>116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8">
      <c r="A10" s="4" t="s">
        <v>41</v>
      </c>
      <c r="B10" s="4" t="s">
        <v>117</v>
      </c>
      <c r="C10" s="4" t="s">
        <v>113</v>
      </c>
      <c r="D10" s="4" t="s">
        <v>28</v>
      </c>
      <c r="E10" s="4" t="s">
        <v>118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4" t="s">
        <v>62</v>
      </c>
      <c r="B11" s="4" t="s">
        <v>119</v>
      </c>
      <c r="C11" s="4" t="s">
        <v>113</v>
      </c>
      <c r="D11" s="4" t="s">
        <v>120</v>
      </c>
      <c r="E11" s="4" t="s">
        <v>121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 t="s">
        <v>89</v>
      </c>
      <c r="B12" s="4" t="s">
        <v>13</v>
      </c>
      <c r="C12" s="4" t="s">
        <v>107</v>
      </c>
      <c r="D12" s="4" t="s">
        <v>122</v>
      </c>
      <c r="E12" s="4" t="s">
        <v>123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Periodos</vt:lpstr>
      <vt:lpstr>Visao_Geral</vt:lpstr>
      <vt:lpstr>Visitas</vt:lpstr>
      <vt:lpstr>Pesquisas</vt:lpstr>
      <vt:lpstr>Campanhas</vt:lpstr>
      <vt:lpstr>Filtros_NF</vt:lpstr>
      <vt:lpstr>Galeria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Geysa Sechi - Tecfil - TRADE MARKETING</dc:creator>
  <cp:lastModifiedBy>Geysa Sechi - Tecfil - TRADE MARKETING</cp:lastModifiedBy>
  <dcterms:created xsi:type="dcterms:W3CDTF">2026-08-10T13:27:04Z</dcterms:created>
  <dcterms:modified xsi:type="dcterms:W3CDTF">2026-08-10T13:52:34Z</dcterms:modified>
</cp:coreProperties>
</file>